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1fe41ef0143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d08d3b0bb47c4eef"/>
    <x:sheet xmlns:r="http://schemas.openxmlformats.org/officeDocument/2006/relationships" name="KICH_BAN" sheetId="2" r:id="R4723aaef4a2c419a"/>
    <x:sheet xmlns:r="http://schemas.openxmlformats.org/officeDocument/2006/relationships" name="Nhomsinhvien" sheetId="3" r:id="Rca405b0f52ee423f"/>
    <x:sheet xmlns:r="http://schemas.openxmlformats.org/officeDocument/2006/relationships" name="Thanhviennhom" sheetId="4" r:id="R99e528bce7654b2c"/>
    <x:sheet xmlns:r="http://schemas.openxmlformats.org/officeDocument/2006/relationships" name="Sinhvien" sheetId="5" r:id="R8d188f6cbf5a47be"/>
    <x:sheet xmlns:r="http://schemas.openxmlformats.org/officeDocument/2006/relationships" name="Detai" sheetId="6" r:id="R0d37ccedbaed4c8c"/>
    <x:sheet xmlns:r="http://schemas.openxmlformats.org/officeDocument/2006/relationships" name="Dangkydetai" sheetId="7" r:id="R9ef9abe462d54f37"/>
    <x:sheet xmlns:r="http://schemas.openxmlformats.org/officeDocument/2006/relationships" name="Giangvien" sheetId="8" r:id="Rd00c9f25af9d4aa0"/>
    <x:sheet xmlns:r="http://schemas.openxmlformats.org/officeDocument/2006/relationships" name="GVHuongdan" sheetId="9" r:id="Ra1e29217b0ac4d09"/>
    <x:sheet xmlns:r="http://schemas.openxmlformats.org/officeDocument/2006/relationships" name="GVPhanbien" sheetId="10" r:id="R36a8549a60024122"/>
    <x:sheet xmlns:r="http://schemas.openxmlformats.org/officeDocument/2006/relationships" name="Hoidong" sheetId="11" r:id="R5c4b48eaf94f4599"/>
    <x:sheet xmlns:r="http://schemas.openxmlformats.org/officeDocument/2006/relationships" name="Thanhvienhoidong" sheetId="12" r:id="Rac9dbe44063e4ec7"/>
    <x:sheet xmlns:r="http://schemas.openxmlformats.org/officeDocument/2006/relationships" name="Phanconghoidong" sheetId="13" r:id="Ra068e31daf924c7a"/>
    <x:sheet xmlns:r="http://schemas.openxmlformats.org/officeDocument/2006/relationships" name="Diem" sheetId="14" r:id="R448ad65058d74629"/>
    <x:sheet xmlns:r="http://schemas.openxmlformats.org/officeDocument/2006/relationships" name="Ketqua" sheetId="15" r:id="R9d20d0fa3e414848"/>
    <x:sheet xmlns:r="http://schemas.openxmlformats.org/officeDocument/2006/relationships" name="EmailMau" sheetId="16" r:id="R67ea0eade232463f"/>
    <x:sheet xmlns:r="http://schemas.openxmlformats.org/officeDocument/2006/relationships" name="DOI_CHIEU" sheetId="17" r:id="R0fd1b61f6d414423"/>
    <x:sheet xmlns:r="http://schemas.openxmlformats.org/officeDocument/2006/relationships" name="TEST_CASE" sheetId="18" r:id="R4f11dfc80aa14e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334155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04A"/>
      </x:patternFill>
    </x:fill>
    <x:fill>
      <x:patternFill patternType="solid">
        <x:fgColor rgb="FFE8F1F7"/>
      </x:patternFill>
    </x:fill>
    <x:fill>
      <x:patternFill patternType="solid">
        <x:fgColor rgb="FF205B78"/>
      </x:patternFill>
    </x:fill>
    <x:fill>
      <x:patternFill patternType="solid">
        <x:fgColor rgb="FFF2F7F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1" xfId="0" applyNumberFormat="1" applyFont="1" applyFill="1" applyBorder="1"/>
  </x:cellXfs>
  <x:cellStyles count="1">
    <x:cellStyle name="Normal" xfId="0"/>
  </x:cellStyles>
  <x:dxfs count="2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acb3bcebb4520" /><Relationship Type="http://schemas.openxmlformats.org/officeDocument/2006/relationships/theme" Target="/xl/theme/theme1.xml" Id="Rd1528cbe742c4dd9" /><Relationship Type="http://schemas.microsoft.com/office/2022/11/relationships/FeaturePropertyBag" Target="/xl/featurePropertyBag/featurePropertyBag.xml" Id="Ra562ce747afa4d09" /><Relationship Type="http://schemas.openxmlformats.org/officeDocument/2006/relationships/sharedStrings" Target="/xl/sharedStrings.xml" Id="R3d255d36acb14bd1" /><Relationship Type="http://schemas.openxmlformats.org/officeDocument/2006/relationships/worksheet" Target="/xl/worksheets/sheet1.xml" Id="Rd08d3b0bb47c4eef" /><Relationship Type="http://schemas.openxmlformats.org/officeDocument/2006/relationships/worksheet" Target="/xl/worksheets/sheet2.xml" Id="R4723aaef4a2c419a" /><Relationship Type="http://schemas.openxmlformats.org/officeDocument/2006/relationships/worksheet" Target="/xl/worksheets/sheet3.xml" Id="Rca405b0f52ee423f" /><Relationship Type="http://schemas.openxmlformats.org/officeDocument/2006/relationships/worksheet" Target="/xl/worksheets/sheet4.xml" Id="R99e528bce7654b2c" /><Relationship Type="http://schemas.openxmlformats.org/officeDocument/2006/relationships/worksheet" Target="/xl/worksheets/sheet5.xml" Id="R8d188f6cbf5a47be" /><Relationship Type="http://schemas.openxmlformats.org/officeDocument/2006/relationships/worksheet" Target="/xl/worksheets/sheet6.xml" Id="R0d37ccedbaed4c8c" /><Relationship Type="http://schemas.openxmlformats.org/officeDocument/2006/relationships/worksheet" Target="/xl/worksheets/sheet7.xml" Id="R9ef9abe462d54f37" /><Relationship Type="http://schemas.openxmlformats.org/officeDocument/2006/relationships/worksheet" Target="/xl/worksheets/sheet8.xml" Id="Rd00c9f25af9d4aa0" /><Relationship Type="http://schemas.openxmlformats.org/officeDocument/2006/relationships/worksheet" Target="/xl/worksheets/sheet9.xml" Id="Ra1e29217b0ac4d09" /><Relationship Type="http://schemas.openxmlformats.org/officeDocument/2006/relationships/worksheet" Target="/xl/worksheets/sheet10.xml" Id="R36a8549a60024122" /><Relationship Type="http://schemas.openxmlformats.org/officeDocument/2006/relationships/worksheet" Target="/xl/worksheets/sheet11.xml" Id="R5c4b48eaf94f4599" /><Relationship Type="http://schemas.openxmlformats.org/officeDocument/2006/relationships/worksheet" Target="/xl/worksheets/sheet12.xml" Id="Rac9dbe44063e4ec7" /><Relationship Type="http://schemas.openxmlformats.org/officeDocument/2006/relationships/worksheet" Target="/xl/worksheets/sheet13.xml" Id="Ra068e31daf924c7a" /><Relationship Type="http://schemas.openxmlformats.org/officeDocument/2006/relationships/worksheet" Target="/xl/worksheets/sheet14.xml" Id="R448ad65058d74629" /><Relationship Type="http://schemas.openxmlformats.org/officeDocument/2006/relationships/worksheet" Target="/xl/worksheets/sheet15.xml" Id="R9d20d0fa3e414848" /><Relationship Type="http://schemas.openxmlformats.org/officeDocument/2006/relationships/worksheet" Target="/xl/worksheets/sheet16.xml" Id="R67ea0eade232463f" /><Relationship Type="http://schemas.openxmlformats.org/officeDocument/2006/relationships/worksheet" Target="/xl/worksheets/sheet17.xml" Id="R0fd1b61f6d414423" /><Relationship Type="http://schemas.openxmlformats.org/officeDocument/2006/relationships/worksheet" Target="/xl/worksheets/sheet18.xml" Id="R4f11dfc80aa14e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36" customHeight="1">
      <x:c r="A1" s="4" t="str">
        <x:v>DỮ LIỆU DEMO – HỮU NGHỊ</x:v>
      </x:c>
      <x:c r="B1" s="4"/>
    </x:row>
    <x:row r="2" ht="33" customHeight="1">
      <x:c r="A2" s="11" t="str">
        <x:v>BẢN THỬ NGHIỆM RIÊNG · Không phải dữ liệu chính thức / không nhập vào database đang chạy</x:v>
      </x:c>
      <x:c r="B2" s="11"/>
    </x:row>
    <x:row r="4" ht="30" customHeight="1">
      <x:c r="A4" s="19" t="str">
        <x:v>Mục</x:v>
      </x:c>
      <x:c r="B4" s="19" t="str">
        <x:v>Nội dung</x:v>
      </x:c>
    </x:row>
    <x:row r="5" ht="24" customHeight="1">
      <x:c r="A5" t="str">
        <x:v>Mục đích</x:v>
      </x:c>
      <x:c r="B5" t="str">
        <x:v>Dữ liệu DEMO cho Hữu Nghị — nghiệm thu Công bố / Tra cứu / Email Outbox.</x:v>
      </x:c>
    </x:row>
    <x:row r="6" ht="24" customHeight="1">
      <x:c r="A6" s="24" t="str">
        <x:v>Nguồn nền</x:v>
      </x:c>
      <x:c r="B6" s="24" t="str">
        <x:v>Đối chiếu 8 nhóm, đăng ký, SV, đề tài, giảng viên HD theo Excel tổng quan do bạn cung cấp.</x:v>
      </x:c>
    </x:row>
    <x:row r="7" ht="24" customHeight="1">
      <x:c r="A7" t="str">
        <x:v>Đã thay đổi</x:v>
      </x:c>
      <x:c r="B7" t="str">
        <x:v>Phân công giảng viên phản biện, hội đồng–đăng ký, điểm thành phần, trạng thái/ngày công bố: THIẾT KẾ DEMO, KHÔNG PHẢI DỮ LIỆU THẬT.</x:v>
      </x:c>
    </x:row>
    <x:row r="8" ht="24" customHeight="1">
      <x:c r="A8" s="24" t="str">
        <x:v>Phạm vi</x:v>
      </x:c>
      <x:c r="B8" s="24" t="str">
        <x:v>8 nhóm x 3 sinh viên; 8 đăng ký đã duyệt; 4 loại đợt; 3 hội đồng demo; 2 trường hợp bị chặn.</x:v>
      </x:c>
    </x:row>
    <x:row r="9" ht="24" customHeight="1">
      <x:c r="A9" t="str">
        <x:v>Không có dữ liệu nhạy cảm</x:v>
      </x:c>
      <x:c r="B9" t="str">
        <x:v>Không chứa mật khẩu hoặc bcrypt hash; email giả có đuôi example.invalid, không thể gửi email thực tế.</x:v>
      </x:c>
    </x:row>
    <x:row r="10" ht="24" customHeight="1">
      <x:c r="A10" s="24" t="str">
        <x:v>An toàn MySQL</x:v>
      </x:c>
      <x:c r="B10" s="24" t="str">
        <x:v>KHÔNG import trực tiếp vào CSDL gốc. Dùng Codex chuyển thành fixture cho DB demo riêng sau khi kiểm tra schema/migration.</x:v>
      </x:c>
    </x:row>
    <x:row r="11" ht="24" customHeight="1">
      <x:c r="A11" t="str">
        <x:v>Trạng thái mail</x:v>
      </x:c>
      <x:c r="B11" t="str">
        <x:v>EmailKetqua chỉ được tạo khi công bố commit; file EmailMau chỉ là danh sách người nhận DEMO, không phải các hàng outbox đã gửi.</x:v>
      </x:c>
    </x:row>
    <x:row r="12" ht="24" customHeight="1">
      <x:c r="A12" s="24" t="str">
        <x:v>Chưa công bố</x:v>
      </x:c>
      <x:c r="B12" s="24" t="str">
        <x:v>Ketqua.Dacongbo = FALSE, Ngaycongbo rỗng; việc đổi trạng thái phải do API Trưởng khoa thực hiện.</x:v>
      </x:c>
    </x:row>
    <x:row r="13" ht="24" customHeight="1">
      <x:c r="A13" t="str">
        <x:v>Phạm vi đầu-cuối</x:v>
      </x:c>
      <x:c r="B13" t="str">
        <x:v>Dữ liệu được lập theo bảng hiện hành và quy tắc đã chốt, vẫn cần Codex đối chiếu DTO/schema thật trước khi tạo SQL.</x:v>
      </x:c>
    </x:row>
    <x:row r="14" ht="24" customHeight="1">
      <x:c r="A14" s="24" t="str">
        <x:v>Không sửa file gốc</x:v>
      </x:c>
      <x:c r="B14" s="24" t="str">
        <x:v>Quanlydetaisinhvien_Tongquan_Toanhethong(1).xlsx chưa được sửa và database MySQL không bị thay đổi.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7" hidden="0" customWidth="1"/>
    <x:col min="4" max="4" width="43" hidden="0" customWidth="1"/>
    <x:col min="5" max="5" width="11" hidden="0" customWidth="1"/>
    <x:col min="6" max="6" width="11" hidden="0" customWidth="1"/>
    <x:col min="7" max="7" width="9" hidden="0" customWidth="1"/>
    <x:col min="8" max="8" width="31" hidden="0" customWidth="1"/>
  </x:cols>
  <x:sheetData>
    <x:row r="1" ht="36" customHeight="1">
      <x:c r="A1" s="4" t="str">
        <x:v>8 KỊCH BẢN NGHIỆM THU</x:v>
      </x:c>
      <x:c r="B1" s="4"/>
      <x:c r="C1" s="4"/>
      <x:c r="D1" s="4"/>
      <x:c r="E1" s="4"/>
      <x:c r="F1" s="4"/>
      <x:c r="G1" s="4"/>
      <x:c r="H1" s="4"/>
    </x:row>
    <x:row r="2" ht="33" customHeight="1">
      <x:c r="A2" s="11" t="str">
        <x:v>IDs 1–8 là ID tham chiếu từ Excel gốc; phân công và điểm dưới đây chỉ tạo cho môi trường demo riêng.</x:v>
      </x:c>
      <x:c r="B2" s="11"/>
      <x:c r="C2" s="11"/>
      <x:c r="D2" s="11"/>
      <x:c r="E2" s="11"/>
      <x:c r="F2" s="11"/>
      <x:c r="G2" s="11"/>
      <x:c r="H2" s="11"/>
    </x:row>
    <x:row r="4" ht="30" customHeight="1">
      <x:c r="A4" s="19" t="str">
        <x:v>DangkyID</x:v>
      </x:c>
      <x:c r="B4" s="19" t="str">
        <x:v>Loaidot</x:v>
      </x:c>
      <x:c r="C4" s="19" t="str">
        <x:v>TinhHuong</x:v>
      </x:c>
      <x:c r="D4" s="19" t="str">
        <x:v>Mô tả</x:v>
      </x:c>
      <x:c r="E4" s="19" t="str">
        <x:v>NhomID</x:v>
      </x:c>
      <x:c r="F4" s="19" t="str">
        <x:v>DetaiID</x:v>
      </x:c>
      <x:c r="G4" s="19" t="str">
        <x:v>DotID</x:v>
      </x:c>
      <x:c r="H4" s="19" t="str">
        <x:v>Kết quả mong đợi</x:v>
      </x:c>
    </x:row>
    <x:row r="5" ht="24" customHeight="1">
      <x:c r="A5" t="n">
        <x:v>1</x:v>
      </x:c>
      <x:c r="B5" t="str">
        <x:v>MONHOC</x:v>
      </x:c>
      <x:c r="C5" t="str">
        <x:v>CHUA_CONGBO_DU_DIEM</x:v>
      </x:c>
      <x:c r="D5" t="str">
        <x:v>Không hội đồng, đủ điểm</x:v>
      </x:c>
      <x:c r="E5" t="n">
        <x:v>1</x:v>
      </x:c>
      <x:c r="F5" t="n">
        <x:v>1</x:v>
      </x:c>
      <x:c r="G5" t="n">
        <x:v>1</x:v>
      </x:c>
      <x:c r="H5" t="str">
        <x:v>Dự kiến công bố được</x:v>
      </x:c>
    </x:row>
    <x:row r="6" ht="24" customHeight="1">
      <x:c r="A6" s="24" t="n">
        <x:v>2</x:v>
      </x:c>
      <x:c r="B6" s="24" t="str">
        <x:v>NCKH</x:v>
      </x:c>
      <x:c r="C6" s="24" t="str">
        <x:v>CHUA_CONGBO_DU_DIEM</x:v>
      </x:c>
      <x:c r="D6" s="24" t="str">
        <x:v>Không hội đồng, đủ điểm</x:v>
      </x:c>
      <x:c r="E6" s="24" t="n">
        <x:v>2</x:v>
      </x:c>
      <x:c r="F6" s="24" t="n">
        <x:v>2</x:v>
      </x:c>
      <x:c r="G6" s="24" t="n">
        <x:v>2</x:v>
      </x:c>
      <x:c r="H6" s="24" t="str">
        <x:v>Dự kiến công bố được</x:v>
      </x:c>
    </x:row>
    <x:row r="7" ht="24" customHeight="1">
      <x:c r="A7" t="n">
        <x:v>3</x:v>
      </x:c>
      <x:c r="B7" t="str">
        <x:v>TLCN</x:v>
      </x:c>
      <x:c r="C7" t="str">
        <x:v>CHUA_CONGBO_DU_DIEM</x:v>
      </x:c>
      <x:c r="D7" t="str">
        <x:v>Có hội đồng 3 GV và điểm hợp lệ</x:v>
      </x:c>
      <x:c r="E7" t="n">
        <x:v>3</x:v>
      </x:c>
      <x:c r="F7" t="n">
        <x:v>3</x:v>
      </x:c>
      <x:c r="G7" t="n">
        <x:v>3</x:v>
      </x:c>
      <x:c r="H7" t="str">
        <x:v>Dự kiến công bố được</x:v>
      </x:c>
    </x:row>
    <x:row r="8" ht="24" customHeight="1">
      <x:c r="A8" s="24" t="n">
        <x:v>4</x:v>
      </x:c>
      <x:c r="B8" s="24" t="str">
        <x:v>KLTN</x:v>
      </x:c>
      <x:c r="C8" s="24" t="str">
        <x:v>CHUA_CONGBO_DU_DIEM</x:v>
      </x:c>
      <x:c r="D8" s="24" t="str">
        <x:v>Bắt buộc hội đồng, đủ 3 điểm</x:v>
      </x:c>
      <x:c r="E8" s="24" t="n">
        <x:v>4</x:v>
      </x:c>
      <x:c r="F8" s="24" t="n">
        <x:v>4</x:v>
      </x:c>
      <x:c r="G8" s="24" t="n">
        <x:v>4</x:v>
      </x:c>
      <x:c r="H8" s="24" t="str">
        <x:v>Dự kiến công bố được</x:v>
      </x:c>
    </x:row>
    <x:row r="9" ht="24" customHeight="1">
      <x:c r="A9" t="n">
        <x:v>5</x:v>
      </x:c>
      <x:c r="B9" t="str">
        <x:v>MONHOC</x:v>
      </x:c>
      <x:c r="C9" t="str">
        <x:v>DA_CONGBO</x:v>
      </x:c>
      <x:c r="D9" t="str">
        <x:v>Đã công bố, không công bố/gửi email lặp</x:v>
      </x:c>
      <x:c r="E9" t="n">
        <x:v>5</x:v>
      </x:c>
      <x:c r="F9" t="n">
        <x:v>5</x:v>
      </x:c>
      <x:c r="G9" t="n">
        <x:v>5</x:v>
      </x:c>
      <x:c r="H9" t="str">
        <x:v>Kiểm tra chống công bố lặp</x:v>
      </x:c>
    </x:row>
    <x:row r="10" ht="24" customHeight="1">
      <x:c r="A10" s="24" t="n">
        <x:v>6</x:v>
      </x:c>
      <x:c r="B10" s="24" t="str">
        <x:v>NCKH</x:v>
      </x:c>
      <x:c r="C10" s="24" t="str">
        <x:v>THIEU_DIEM</x:v>
      </x:c>
      <x:c r="D10" s="24" t="str">
        <x:v>Thiếu điểm GV phản biện</x:v>
      </x:c>
      <x:c r="E10" s="24" t="n">
        <x:v>6</x:v>
      </x:c>
      <x:c r="F10" s="24" t="n">
        <x:v>6</x:v>
      </x:c>
      <x:c r="G10" s="24" t="n">
        <x:v>6</x:v>
      </x:c>
      <x:c r="H10" s="24" t="str">
        <x:v>Phải chặn công bố</x:v>
      </x:c>
    </x:row>
    <x:row r="11" ht="24" customHeight="1">
      <x:c r="A11" t="n">
        <x:v>7</x:v>
      </x:c>
      <x:c r="B11" t="str">
        <x:v>TLCN</x:v>
      </x:c>
      <x:c r="C11" t="str">
        <x:v>CHUA_CONGBO_DU_DIEM</x:v>
      </x:c>
      <x:c r="D11" t="str">
        <x:v>Đủ phản biện, không hội đồng</x:v>
      </x:c>
      <x:c r="E11" t="n">
        <x:v>7</x:v>
      </x:c>
      <x:c r="F11" t="n">
        <x:v>7</x:v>
      </x:c>
      <x:c r="G11" t="n">
        <x:v>7</x:v>
      </x:c>
      <x:c r="H11" t="str">
        <x:v>Dự kiến công bố được</x:v>
      </x:c>
    </x:row>
    <x:row r="12" ht="24" customHeight="1">
      <x:c r="A12" s="24" t="n">
        <x:v>8</x:v>
      </x:c>
      <x:c r="B12" s="24" t="str">
        <x:v>KLTN</x:v>
      </x:c>
      <x:c r="C12" s="24" t="str">
        <x:v>THIEU_DIEM_HOIDONG</x:v>
      </x:c>
      <x:c r="D12" s="24" t="str">
        <x:v>Thiếu điểm 1/3 thành viên hội đồng</x:v>
      </x:c>
      <x:c r="E12" s="24" t="n">
        <x:v>8</x:v>
      </x:c>
      <x:c r="F12" s="24" t="n">
        <x:v>8</x:v>
      </x:c>
      <x:c r="G12" s="24" t="n">
        <x:v>8</x:v>
      </x:c>
      <x:c r="H12" s="24" t="str">
        <x:v>Phải chặn công bố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5" hidden="0" customWidth="1"/>
    <x:col min="4" max="4" width="19" hidden="0" customWidth="1"/>
  </x:cols>
  <x:sheetData>
    <x:row r="1" ht="36" customHeight="1">
      <x:c r="A1" s="4" t="str">
        <x:v>NHÓM SINH VIÊN</x:v>
      </x:c>
      <x:c r="B1" s="4"/>
      <x:c r="C1" s="4"/>
      <x:c r="D1" s="4"/>
    </x:row>
    <x:row r="2" ht="33" customHeight="1">
      <x:c r="A2" s="11" t="str">
        <x:v>Trích 8 nhóm đầu của Excel gốc, mỗi nhóm đúng 3 sinh viên.</x:v>
      </x:c>
      <x:c r="B2" s="11"/>
      <x:c r="C2" s="11"/>
      <x:c r="D2" s="11"/>
    </x:row>
    <x:row r="4" ht="30" customHeight="1">
      <x:c r="A4" s="19" t="str">
        <x:v>Id</x:v>
      </x:c>
      <x:c r="B4" s="19" t="str">
        <x:v>Dotdangkyid</x:v>
      </x:c>
      <x:c r="C4" s="19" t="str">
        <x:v>Tennhom</x:v>
      </x:c>
      <x:c r="D4" s="19" t="str">
        <x:v>Nhomtruongid</x:v>
      </x:c>
    </x:row>
    <x:row r="5" ht="24" customHeight="1">
      <x:c r="A5" t="n">
        <x:v>1</x:v>
      </x:c>
      <x:c r="B5" t="n">
        <x:v>1</x:v>
      </x:c>
      <x:c r="C5" t="str">
        <x:v>Nhóm CNTT 01</x:v>
      </x:c>
      <x:c r="D5" t="n">
        <x:v>1</x:v>
      </x:c>
    </x:row>
    <x:row r="6" ht="24" customHeight="1">
      <x:c r="A6" s="24" t="n">
        <x:v>2</x:v>
      </x:c>
      <x:c r="B6" s="24" t="n">
        <x:v>2</x:v>
      </x:c>
      <x:c r="C6" s="24" t="str">
        <x:v>Nhóm CNTT 02</x:v>
      </x:c>
      <x:c r="D6" s="24" t="n">
        <x:v>4</x:v>
      </x:c>
    </x:row>
    <x:row r="7" ht="24" customHeight="1">
      <x:c r="A7" t="n">
        <x:v>3</x:v>
      </x:c>
      <x:c r="B7" t="n">
        <x:v>3</x:v>
      </x:c>
      <x:c r="C7" t="str">
        <x:v>Nhóm CNTT 03</x:v>
      </x:c>
      <x:c r="D7" t="n">
        <x:v>7</x:v>
      </x:c>
    </x:row>
    <x:row r="8" ht="24" customHeight="1">
      <x:c r="A8" s="24" t="n">
        <x:v>4</x:v>
      </x:c>
      <x:c r="B8" s="24" t="n">
        <x:v>4</x:v>
      </x:c>
      <x:c r="C8" s="24" t="str">
        <x:v>Nhóm CNTT 04</x:v>
      </x:c>
      <x:c r="D8" s="24" t="n">
        <x:v>10</x:v>
      </x:c>
    </x:row>
    <x:row r="9" ht="24" customHeight="1">
      <x:c r="A9" t="n">
        <x:v>5</x:v>
      </x:c>
      <x:c r="B9" t="n">
        <x:v>1</x:v>
      </x:c>
      <x:c r="C9" t="str">
        <x:v>Nhóm CNTT 05</x:v>
      </x:c>
      <x:c r="D9" t="n">
        <x:v>13</x:v>
      </x:c>
    </x:row>
    <x:row r="10" ht="24" customHeight="1">
      <x:c r="A10" s="24" t="n">
        <x:v>6</x:v>
      </x:c>
      <x:c r="B10" s="24" t="n">
        <x:v>2</x:v>
      </x:c>
      <x:c r="C10" s="24" t="str">
        <x:v>Nhóm CNTT 06</x:v>
      </x:c>
      <x:c r="D10" s="24" t="n">
        <x:v>16</x:v>
      </x:c>
    </x:row>
    <x:row r="11" ht="24" customHeight="1">
      <x:c r="A11" t="n">
        <x:v>7</x:v>
      </x:c>
      <x:c r="B11" t="n">
        <x:v>3</x:v>
      </x:c>
      <x:c r="C11" t="str">
        <x:v>Nhóm CNTT 07</x:v>
      </x:c>
      <x:c r="D11" t="n">
        <x:v>19</x:v>
      </x:c>
    </x:row>
    <x:row r="12" ht="24" customHeight="1">
      <x:c r="A12" s="24" t="n">
        <x:v>8</x:v>
      </x:c>
      <x:c r="B12" s="24" t="n">
        <x:v>4</x:v>
      </x:c>
      <x:c r="C12" s="24" t="str">
        <x:v>Nhóm CNTT 08</x:v>
      </x:c>
      <x:c r="D12" s="24" t="n">
        <x:v>22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6" customHeight="1">
      <x:c r="A1" s="4" t="str">
        <x:v>THÀNH VIÊN NHÓM</x:v>
      </x:c>
      <x:c r="B1" s="4"/>
    </x:row>
    <x:row r="2" ht="33" customHeight="1">
      <x:c r="A2" s="11" t="str">
        <x:v>24 thành viên từ Excel gốc; mỗi sinh viên trong một nhóm ở bộ demo.</x:v>
      </x:c>
      <x:c r="B2" s="11"/>
    </x:row>
    <x:row r="4" ht="30" customHeight="1">
      <x:c r="A4" s="19" t="str">
        <x:v>Nhomid</x:v>
      </x:c>
      <x:c r="B4" s="19" t="str">
        <x:v>Sinhvienid</x:v>
      </x:c>
    </x:row>
    <x:row r="5" ht="24" customHeight="1">
      <x:c r="A5" t="n">
        <x:v>1</x:v>
      </x:c>
      <x:c r="B5" t="n">
        <x:v>1</x:v>
      </x:c>
    </x:row>
    <x:row r="6" ht="24" customHeight="1">
      <x:c r="A6" s="24" t="n">
        <x:v>1</x:v>
      </x:c>
      <x:c r="B6" s="24" t="n">
        <x:v>2</x:v>
      </x:c>
    </x:row>
    <x:row r="7" ht="24" customHeight="1">
      <x:c r="A7" t="n">
        <x:v>1</x:v>
      </x:c>
      <x:c r="B7" t="n">
        <x:v>3</x:v>
      </x:c>
    </x:row>
    <x:row r="8" ht="24" customHeight="1">
      <x:c r="A8" s="24" t="n">
        <x:v>2</x:v>
      </x:c>
      <x:c r="B8" s="24" t="n">
        <x:v>4</x:v>
      </x:c>
    </x:row>
    <x:row r="9" ht="24" customHeight="1">
      <x:c r="A9" t="n">
        <x:v>2</x:v>
      </x:c>
      <x:c r="B9" t="n">
        <x:v>5</x:v>
      </x:c>
    </x:row>
    <x:row r="10" ht="24" customHeight="1">
      <x:c r="A10" s="24" t="n">
        <x:v>2</x:v>
      </x:c>
      <x:c r="B10" s="24" t="n">
        <x:v>6</x:v>
      </x:c>
    </x:row>
    <x:row r="11" ht="24" customHeight="1">
      <x:c r="A11" t="n">
        <x:v>3</x:v>
      </x:c>
      <x:c r="B11" t="n">
        <x:v>7</x:v>
      </x:c>
    </x:row>
    <x:row r="12" ht="24" customHeight="1">
      <x:c r="A12" s="24" t="n">
        <x:v>3</x:v>
      </x:c>
      <x:c r="B12" s="24" t="n">
        <x:v>8</x:v>
      </x:c>
    </x:row>
    <x:row r="13" ht="24" customHeight="1">
      <x:c r="A13" t="n">
        <x:v>3</x:v>
      </x:c>
      <x:c r="B13" t="n">
        <x:v>9</x:v>
      </x:c>
    </x:row>
    <x:row r="14" ht="24" customHeight="1">
      <x:c r="A14" s="24" t="n">
        <x:v>4</x:v>
      </x:c>
      <x:c r="B14" s="24" t="n">
        <x:v>10</x:v>
      </x:c>
    </x:row>
    <x:row r="15" ht="24" customHeight="1">
      <x:c r="A15" t="n">
        <x:v>4</x:v>
      </x:c>
      <x:c r="B15" t="n">
        <x:v>11</x:v>
      </x:c>
    </x:row>
    <x:row r="16" ht="24" customHeight="1">
      <x:c r="A16" s="24" t="n">
        <x:v>4</x:v>
      </x:c>
      <x:c r="B16" s="24" t="n">
        <x:v>12</x:v>
      </x:c>
    </x:row>
    <x:row r="17" ht="24" customHeight="1">
      <x:c r="A17" t="n">
        <x:v>5</x:v>
      </x:c>
      <x:c r="B17" t="n">
        <x:v>13</x:v>
      </x:c>
    </x:row>
    <x:row r="18" ht="24" customHeight="1">
      <x:c r="A18" s="24" t="n">
        <x:v>5</x:v>
      </x:c>
      <x:c r="B18" s="24" t="n">
        <x:v>14</x:v>
      </x:c>
    </x:row>
    <x:row r="19" ht="24" customHeight="1">
      <x:c r="A19" t="n">
        <x:v>5</x:v>
      </x:c>
      <x:c r="B19" t="n">
        <x:v>15</x:v>
      </x:c>
    </x:row>
    <x:row r="20" ht="24" customHeight="1">
      <x:c r="A20" s="24" t="n">
        <x:v>6</x:v>
      </x:c>
      <x:c r="B20" s="24" t="n">
        <x:v>16</x:v>
      </x:c>
    </x:row>
    <x:row r="21" ht="24" customHeight="1">
      <x:c r="A21" t="n">
        <x:v>6</x:v>
      </x:c>
      <x:c r="B21" t="n">
        <x:v>17</x:v>
      </x:c>
    </x:row>
    <x:row r="22" ht="24" customHeight="1">
      <x:c r="A22" s="24" t="n">
        <x:v>6</x:v>
      </x:c>
      <x:c r="B22" s="24" t="n">
        <x:v>18</x:v>
      </x:c>
    </x:row>
    <x:row r="23" ht="24" customHeight="1">
      <x:c r="A23" t="n">
        <x:v>7</x:v>
      </x:c>
      <x:c r="B23" t="n">
        <x:v>19</x:v>
      </x:c>
    </x:row>
    <x:row r="24" ht="24" customHeight="1">
      <x:c r="A24" s="24" t="n">
        <x:v>7</x:v>
      </x:c>
      <x:c r="B24" s="24" t="n">
        <x:v>20</x:v>
      </x:c>
    </x:row>
    <x:row r="25" ht="24" customHeight="1">
      <x:c r="A25" t="n">
        <x:v>7</x:v>
      </x:c>
      <x:c r="B25" t="n">
        <x:v>21</x:v>
      </x:c>
    </x:row>
    <x:row r="26" ht="24" customHeight="1">
      <x:c r="A26" s="24" t="n">
        <x:v>8</x:v>
      </x:c>
      <x:c r="B26" s="24" t="n">
        <x:v>22</x:v>
      </x:c>
    </x:row>
    <x:row r="27" ht="24" customHeight="1">
      <x:c r="A27" t="n">
        <x:v>8</x:v>
      </x:c>
      <x:c r="B27" t="n">
        <x:v>23</x:v>
      </x:c>
    </x:row>
    <x:row r="28" ht="24" customHeight="1">
      <x:c r="A28" s="24" t="n">
        <x:v>8</x:v>
      </x:c>
      <x:c r="B28" s="24" t="n">
        <x:v>24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20" hidden="0" customWidth="1"/>
    <x:col min="4" max="4" width="16" hidden="0" customWidth="1"/>
    <x:col min="5" max="5" width="17" hidden="0" customWidth="1"/>
  </x:cols>
  <x:sheetData>
    <x:row r="1" ht="36" customHeight="1">
      <x:c r="A1" s="4" t="str">
        <x:v>SINH VIÊN THAM CHIẾU</x:v>
      </x:c>
      <x:c r="B1" s="4"/>
      <x:c r="C1" s="4"/>
      <x:c r="D1" s="4"/>
      <x:c r="E1" s="4"/>
    </x:row>
    <x:row r="2" ht="33" customHeight="1">
      <x:c r="A2" s="11" t="str">
        <x:v>Không có mật khẩu. Các mã sinh viên tham chiếu dữ liệu Excel gốc, dùng để tra cứu đúng nhóm.</x:v>
      </x:c>
      <x:c r="B2" s="11"/>
      <x:c r="C2" s="11"/>
      <x:c r="D2" s="11"/>
      <x:c r="E2" s="11"/>
    </x:row>
    <x:row r="4" ht="30" customHeight="1">
      <x:c r="A4" s="19" t="str">
        <x:v>Id</x:v>
      </x:c>
      <x:c r="B4" s="19" t="str">
        <x:v>Taikhoanid</x:v>
      </x:c>
      <x:c r="C4" s="19" t="str">
        <x:v>Masinhvien</x:v>
      </x:c>
      <x:c r="D4" s="19" t="str">
        <x:v>Bomonid</x:v>
      </x:c>
      <x:c r="E4" s="19" t="str">
        <x:v>Lop</x:v>
      </x:c>
    </x:row>
    <x:row r="5" ht="24" customHeight="1">
      <x:c r="A5" t="n">
        <x:v>1</x:v>
      </x:c>
      <x:c r="B5" t="n">
        <x:v>1001</x:v>
      </x:c>
      <x:c r="C5" t="str">
        <x:v>23110001</x:v>
      </x:c>
      <x:c r="D5" t="n">
        <x:v>1</x:v>
      </x:c>
      <x:c r="E5" t="str">
        <x:v>23DT2</x:v>
      </x:c>
    </x:row>
    <x:row r="6" ht="24" customHeight="1">
      <x:c r="A6" s="24" t="n">
        <x:v>2</x:v>
      </x:c>
      <x:c r="B6" s="24" t="n">
        <x:v>1002</x:v>
      </x:c>
      <x:c r="C6" s="24" t="str">
        <x:v>23110002</x:v>
      </x:c>
      <x:c r="D6" s="24" t="n">
        <x:v>2</x:v>
      </x:c>
      <x:c r="E6" s="24" t="str">
        <x:v>23ET3</x:v>
      </x:c>
    </x:row>
    <x:row r="7" ht="24" customHeight="1">
      <x:c r="A7" t="n">
        <x:v>3</x:v>
      </x:c>
      <x:c r="B7" t="n">
        <x:v>1003</x:v>
      </x:c>
      <x:c r="C7" t="str">
        <x:v>23110003</x:v>
      </x:c>
      <x:c r="D7" t="n">
        <x:v>3</x:v>
      </x:c>
      <x:c r="E7" t="str">
        <x:v>23FT4</x:v>
      </x:c>
    </x:row>
    <x:row r="8" ht="24" customHeight="1">
      <x:c r="A8" s="24" t="n">
        <x:v>4</x:v>
      </x:c>
      <x:c r="B8" s="24" t="n">
        <x:v>1004</x:v>
      </x:c>
      <x:c r="C8" s="24" t="str">
        <x:v>23110004</x:v>
      </x:c>
      <x:c r="D8" s="24" t="n">
        <x:v>4</x:v>
      </x:c>
      <x:c r="E8" s="24" t="str">
        <x:v>23GT5</x:v>
      </x:c>
    </x:row>
    <x:row r="9" ht="24" customHeight="1">
      <x:c r="A9" t="n">
        <x:v>5</x:v>
      </x:c>
      <x:c r="B9" t="n">
        <x:v>1005</x:v>
      </x:c>
      <x:c r="C9" t="str">
        <x:v>23110005</x:v>
      </x:c>
      <x:c r="D9" t="n">
        <x:v>5</x:v>
      </x:c>
      <x:c r="E9" t="str">
        <x:v>23HT1</x:v>
      </x:c>
    </x:row>
    <x:row r="10" ht="24" customHeight="1">
      <x:c r="A10" s="24" t="n">
        <x:v>6</x:v>
      </x:c>
      <x:c r="B10" s="24" t="n">
        <x:v>1006</x:v>
      </x:c>
      <x:c r="C10" s="24" t="str">
        <x:v>23110006</x:v>
      </x:c>
      <x:c r="D10" s="24" t="n">
        <x:v>1</x:v>
      </x:c>
      <x:c r="E10" s="24" t="str">
        <x:v>23DT2</x:v>
      </x:c>
    </x:row>
    <x:row r="11" ht="24" customHeight="1">
      <x:c r="A11" t="n">
        <x:v>7</x:v>
      </x:c>
      <x:c r="B11" t="n">
        <x:v>1007</x:v>
      </x:c>
      <x:c r="C11" t="str">
        <x:v>23110007</x:v>
      </x:c>
      <x:c r="D11" t="n">
        <x:v>2</x:v>
      </x:c>
      <x:c r="E11" t="str">
        <x:v>23ET3</x:v>
      </x:c>
    </x:row>
    <x:row r="12" ht="24" customHeight="1">
      <x:c r="A12" s="24" t="n">
        <x:v>8</x:v>
      </x:c>
      <x:c r="B12" s="24" t="n">
        <x:v>1008</x:v>
      </x:c>
      <x:c r="C12" s="24" t="str">
        <x:v>23110008</x:v>
      </x:c>
      <x:c r="D12" s="24" t="n">
        <x:v>3</x:v>
      </x:c>
      <x:c r="E12" s="24" t="str">
        <x:v>23FT4</x:v>
      </x:c>
    </x:row>
    <x:row r="13" ht="24" customHeight="1">
      <x:c r="A13" t="n">
        <x:v>9</x:v>
      </x:c>
      <x:c r="B13" t="n">
        <x:v>1009</x:v>
      </x:c>
      <x:c r="C13" t="str">
        <x:v>23110009</x:v>
      </x:c>
      <x:c r="D13" t="n">
        <x:v>4</x:v>
      </x:c>
      <x:c r="E13" t="str">
        <x:v>23GT5</x:v>
      </x:c>
    </x:row>
    <x:row r="14" ht="24" customHeight="1">
      <x:c r="A14" s="24" t="n">
        <x:v>10</x:v>
      </x:c>
      <x:c r="B14" s="24" t="n">
        <x:v>1010</x:v>
      </x:c>
      <x:c r="C14" s="24" t="str">
        <x:v>23110010</x:v>
      </x:c>
      <x:c r="D14" s="24" t="n">
        <x:v>5</x:v>
      </x:c>
      <x:c r="E14" s="24" t="str">
        <x:v>23HT1</x:v>
      </x:c>
    </x:row>
    <x:row r="15" ht="24" customHeight="1">
      <x:c r="A15" t="n">
        <x:v>11</x:v>
      </x:c>
      <x:c r="B15" t="n">
        <x:v>1011</x:v>
      </x:c>
      <x:c r="C15" t="str">
        <x:v>23110011</x:v>
      </x:c>
      <x:c r="D15" t="n">
        <x:v>1</x:v>
      </x:c>
      <x:c r="E15" t="str">
        <x:v>23DT2</x:v>
      </x:c>
    </x:row>
    <x:row r="16" ht="24" customHeight="1">
      <x:c r="A16" s="24" t="n">
        <x:v>12</x:v>
      </x:c>
      <x:c r="B16" s="24" t="n">
        <x:v>1012</x:v>
      </x:c>
      <x:c r="C16" s="24" t="str">
        <x:v>23110012</x:v>
      </x:c>
      <x:c r="D16" s="24" t="n">
        <x:v>2</x:v>
      </x:c>
      <x:c r="E16" s="24" t="str">
        <x:v>23ET3</x:v>
      </x:c>
    </x:row>
    <x:row r="17" ht="24" customHeight="1">
      <x:c r="A17" t="n">
        <x:v>13</x:v>
      </x:c>
      <x:c r="B17" t="n">
        <x:v>1013</x:v>
      </x:c>
      <x:c r="C17" t="str">
        <x:v>23110013</x:v>
      </x:c>
      <x:c r="D17" t="n">
        <x:v>3</x:v>
      </x:c>
      <x:c r="E17" t="str">
        <x:v>23FT4</x:v>
      </x:c>
    </x:row>
    <x:row r="18" ht="24" customHeight="1">
      <x:c r="A18" s="24" t="n">
        <x:v>14</x:v>
      </x:c>
      <x:c r="B18" s="24" t="n">
        <x:v>1014</x:v>
      </x:c>
      <x:c r="C18" s="24" t="str">
        <x:v>23110014</x:v>
      </x:c>
      <x:c r="D18" s="24" t="n">
        <x:v>4</x:v>
      </x:c>
      <x:c r="E18" s="24" t="str">
        <x:v>23GT5</x:v>
      </x:c>
    </x:row>
    <x:row r="19" ht="24" customHeight="1">
      <x:c r="A19" t="n">
        <x:v>15</x:v>
      </x:c>
      <x:c r="B19" t="n">
        <x:v>1015</x:v>
      </x:c>
      <x:c r="C19" t="str">
        <x:v>23110015</x:v>
      </x:c>
      <x:c r="D19" t="n">
        <x:v>5</x:v>
      </x:c>
      <x:c r="E19" t="str">
        <x:v>23HT1</x:v>
      </x:c>
    </x:row>
    <x:row r="20" ht="24" customHeight="1">
      <x:c r="A20" s="24" t="n">
        <x:v>16</x:v>
      </x:c>
      <x:c r="B20" s="24" t="n">
        <x:v>1016</x:v>
      </x:c>
      <x:c r="C20" s="24" t="str">
        <x:v>23110016</x:v>
      </x:c>
      <x:c r="D20" s="24" t="n">
        <x:v>1</x:v>
      </x:c>
      <x:c r="E20" s="24" t="str">
        <x:v>23DT2</x:v>
      </x:c>
    </x:row>
    <x:row r="21" ht="24" customHeight="1">
      <x:c r="A21" t="n">
        <x:v>17</x:v>
      </x:c>
      <x:c r="B21" t="n">
        <x:v>1017</x:v>
      </x:c>
      <x:c r="C21" t="str">
        <x:v>23110017</x:v>
      </x:c>
      <x:c r="D21" t="n">
        <x:v>2</x:v>
      </x:c>
      <x:c r="E21" t="str">
        <x:v>23ET3</x:v>
      </x:c>
    </x:row>
    <x:row r="22" ht="24" customHeight="1">
      <x:c r="A22" s="24" t="n">
        <x:v>18</x:v>
      </x:c>
      <x:c r="B22" s="24" t="n">
        <x:v>1018</x:v>
      </x:c>
      <x:c r="C22" s="24" t="str">
        <x:v>23110018</x:v>
      </x:c>
      <x:c r="D22" s="24" t="n">
        <x:v>3</x:v>
      </x:c>
      <x:c r="E22" s="24" t="str">
        <x:v>23FT4</x:v>
      </x:c>
    </x:row>
    <x:row r="23" ht="24" customHeight="1">
      <x:c r="A23" t="n">
        <x:v>19</x:v>
      </x:c>
      <x:c r="B23" t="n">
        <x:v>1019</x:v>
      </x:c>
      <x:c r="C23" t="str">
        <x:v>23110019</x:v>
      </x:c>
      <x:c r="D23" t="n">
        <x:v>4</x:v>
      </x:c>
      <x:c r="E23" t="str">
        <x:v>23GT5</x:v>
      </x:c>
    </x:row>
    <x:row r="24" ht="24" customHeight="1">
      <x:c r="A24" s="24" t="n">
        <x:v>20</x:v>
      </x:c>
      <x:c r="B24" s="24" t="n">
        <x:v>1020</x:v>
      </x:c>
      <x:c r="C24" s="24" t="str">
        <x:v>23110020</x:v>
      </x:c>
      <x:c r="D24" s="24" t="n">
        <x:v>5</x:v>
      </x:c>
      <x:c r="E24" s="24" t="str">
        <x:v>23HT1</x:v>
      </x:c>
    </x:row>
    <x:row r="25" ht="24" customHeight="1">
      <x:c r="A25" t="n">
        <x:v>21</x:v>
      </x:c>
      <x:c r="B25" t="n">
        <x:v>1021</x:v>
      </x:c>
      <x:c r="C25" t="str">
        <x:v>23110021</x:v>
      </x:c>
      <x:c r="D25" t="n">
        <x:v>1</x:v>
      </x:c>
      <x:c r="E25" t="str">
        <x:v>23DT2</x:v>
      </x:c>
    </x:row>
    <x:row r="26" ht="24" customHeight="1">
      <x:c r="A26" s="24" t="n">
        <x:v>22</x:v>
      </x:c>
      <x:c r="B26" s="24" t="n">
        <x:v>1022</x:v>
      </x:c>
      <x:c r="C26" s="24" t="str">
        <x:v>23110022</x:v>
      </x:c>
      <x:c r="D26" s="24" t="n">
        <x:v>2</x:v>
      </x:c>
      <x:c r="E26" s="24" t="str">
        <x:v>23ET3</x:v>
      </x:c>
    </x:row>
    <x:row r="27" ht="24" customHeight="1">
      <x:c r="A27" t="n">
        <x:v>23</x:v>
      </x:c>
      <x:c r="B27" t="n">
        <x:v>1023</x:v>
      </x:c>
      <x:c r="C27" t="str">
        <x:v>23110023</x:v>
      </x:c>
      <x:c r="D27" t="n">
        <x:v>3</x:v>
      </x:c>
      <x:c r="E27" t="str">
        <x:v>23FT4</x:v>
      </x:c>
    </x:row>
    <x:row r="28" ht="24" customHeight="1">
      <x:c r="A28" s="24" t="n">
        <x:v>24</x:v>
      </x:c>
      <x:c r="B28" s="24" t="n">
        <x:v>1024</x:v>
      </x:c>
      <x:c r="C28" s="24" t="str">
        <x:v>23110024</x:v>
      </x:c>
      <x:c r="D28" s="24" t="n">
        <x:v>4</x:v>
      </x:c>
      <x:c r="E28" s="24" t="str">
        <x:v>23GT5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13" hidden="0" customWidth="1"/>
    <x:col min="4" max="4" width="53" hidden="0" customWidth="1"/>
    <x:col min="5" max="5" width="22" hidden="0" customWidth="1"/>
    <x:col min="6" max="6" width="19" hidden="0" customWidth="1"/>
  </x:cols>
  <x:sheetData>
    <x:row r="1" ht="36" customHeight="1">
      <x:c r="A1" s="4" t="str">
        <x:v>ĐỀ TÀI THAM CHIẾU</x:v>
      </x:c>
      <x:c r="B1" s="4"/>
      <x:c r="C1" s="4"/>
      <x:c r="D1" s="4"/>
      <x:c r="E1" s="4"/>
      <x:c r="F1" s="4"/>
    </x:row>
    <x:row r="2" ht="33" customHeight="1">
      <x:c r="A2" s="11" t="str">
        <x:v>Các đề tài đầu có đúng đợt với nhóm và đăng ký trong dữ liệu mẫu.</x:v>
      </x:c>
      <x:c r="B2" s="11"/>
      <x:c r="C2" s="11"/>
      <x:c r="D2" s="11"/>
      <x:c r="E2" s="11"/>
      <x:c r="F2" s="11"/>
    </x:row>
    <x:row r="4" ht="30" customHeight="1">
      <x:c r="A4" s="19" t="str">
        <x:v>Id</x:v>
      </x:c>
      <x:c r="B4" s="19" t="str">
        <x:v>Dotdangkyid</x:v>
      </x:c>
      <x:c r="C4" s="19" t="str">
        <x:v>Bomonid</x:v>
      </x:c>
      <x:c r="D4" s="19" t="str">
        <x:v>Tendetai</x:v>
      </x:c>
      <x:c r="E4" s="19" t="str">
        <x:v>Giangviendexuatid</x:v>
      </x:c>
      <x:c r="F4" s="19" t="str">
        <x:v>Trangthai</x:v>
      </x:c>
    </x:row>
    <x:row r="5" ht="24" customHeight="1">
      <x:c r="A5" t="n">
        <x:v>1</x:v>
      </x:c>
      <x:c r="B5" t="n">
        <x:v>1</x:v>
      </x:c>
      <x:c r="C5" t="n">
        <x:v>1</x:v>
      </x:c>
      <x:c r="D5" t="str">
        <x:v>Hệ thống quản lý đề tài sinh viên</x:v>
      </x:c>
      <x:c r="E5" t="n">
        <x:v>2</x:v>
      </x:c>
      <x:c r="F5" t="str">
        <x:v>CONGBO</x:v>
      </x:c>
    </x:row>
    <x:row r="6" ht="24" customHeight="1">
      <x:c r="A6" s="24" t="n">
        <x:v>2</x:v>
      </x:c>
      <x:c r="B6" s="24" t="n">
        <x:v>2</x:v>
      </x:c>
      <x:c r="C6" s="24" t="n">
        <x:v>2</x:v>
      </x:c>
      <x:c r="D6" s="24" t="str">
        <x:v>Cổng thông tin đăng ký khóa luận tốt nghiệp</x:v>
      </x:c>
      <x:c r="E6" s="24" t="n">
        <x:v>3</x:v>
      </x:c>
      <x:c r="F6" s="24" t="str">
        <x:v>CONGBO</x:v>
      </x:c>
    </x:row>
    <x:row r="7" ht="24" customHeight="1">
      <x:c r="A7" t="n">
        <x:v>3</x:v>
      </x:c>
      <x:c r="B7" t="n">
        <x:v>3</x:v>
      </x:c>
      <x:c r="C7" t="n">
        <x:v>3</x:v>
      </x:c>
      <x:c r="D7" t="str">
        <x:v>Hệ thống quản lý thực tập doanh nghiệp</x:v>
      </x:c>
      <x:c r="E7" t="n">
        <x:v>4</x:v>
      </x:c>
      <x:c r="F7" t="str">
        <x:v>CONGBO</x:v>
      </x:c>
    </x:row>
    <x:row r="8" ht="24" customHeight="1">
      <x:c r="A8" s="24" t="n">
        <x:v>4</x:v>
      </x:c>
      <x:c r="B8" s="24" t="n">
        <x:v>4</x:v>
      </x:c>
      <x:c r="C8" s="24" t="n">
        <x:v>4</x:v>
      </x:c>
      <x:c r="D8" s="24" t="str">
        <x:v>Hệ thống quản lý phòng học thông minh</x:v>
      </x:c>
      <x:c r="E8" s="24" t="n">
        <x:v>5</x:v>
      </x:c>
      <x:c r="F8" s="24" t="str">
        <x:v>CONGBO</x:v>
      </x:c>
    </x:row>
    <x:row r="9" ht="24" customHeight="1">
      <x:c r="A9" t="n">
        <x:v>5</x:v>
      </x:c>
      <x:c r="B9" t="n">
        <x:v>1</x:v>
      </x:c>
      <x:c r="C9" t="n">
        <x:v>5</x:v>
      </x:c>
      <x:c r="D9" t="str">
        <x:v>Hệ thống quản lý thư viện số</x:v>
      </x:c>
      <x:c r="E9" t="n">
        <x:v>6</x:v>
      </x:c>
      <x:c r="F9" t="str">
        <x:v>CONGBO</x:v>
      </x:c>
    </x:row>
    <x:row r="10" ht="24" customHeight="1">
      <x:c r="A10" s="24" t="n">
        <x:v>6</x:v>
      </x:c>
      <x:c r="B10" s="24" t="n">
        <x:v>2</x:v>
      </x:c>
      <x:c r="C10" s="24" t="n">
        <x:v>1</x:v>
      </x:c>
      <x:c r="D10" s="24" t="str">
        <x:v>Website thương mại điện tử đa nhà bán</x:v>
      </x:c>
      <x:c r="E10" s="24" t="n">
        <x:v>7</x:v>
      </x:c>
      <x:c r="F10" s="24" t="str">
        <x:v>CONGBO</x:v>
      </x:c>
    </x:row>
    <x:row r="11" ht="24" customHeight="1">
      <x:c r="A11" t="n">
        <x:v>7</x:v>
      </x:c>
      <x:c r="B11" t="n">
        <x:v>3</x:v>
      </x:c>
      <x:c r="C11" t="n">
        <x:v>2</x:v>
      </x:c>
      <x:c r="D11" t="str">
        <x:v>Hệ thống quản lý tuyển dụng thông minh</x:v>
      </x:c>
      <x:c r="E11" t="n">
        <x:v>8</x:v>
      </x:c>
      <x:c r="F11" t="str">
        <x:v>CONGBO</x:v>
      </x:c>
    </x:row>
    <x:row r="12" ht="24" customHeight="1">
      <x:c r="A12" s="24" t="n">
        <x:v>8</x:v>
      </x:c>
      <x:c r="B12" s="24" t="n">
        <x:v>4</x:v>
      </x:c>
      <x:c r="C12" s="24" t="n">
        <x:v>3</x:v>
      </x:c>
      <x:c r="D12" s="24" t="str">
        <x:v>Nền tảng quản lý bất động sản</x:v>
      </x:c>
      <x:c r="E12" s="24" t="n">
        <x:v>9</x:v>
      </x:c>
      <x:c r="F12" s="24" t="str">
        <x:v>CONGBO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21" hidden="0" customWidth="1"/>
    <x:col min="5" max="5" width="24" hidden="0" customWidth="1"/>
  </x:cols>
  <x:sheetData>
    <x:row r="1" ht="36" customHeight="1">
      <x:c r="A1" s="4" t="str">
        <x:v>ĐĂNG KÝ ĐỀ TÀI</x:v>
      </x:c>
      <x:c r="B1" s="4"/>
      <x:c r="C1" s="4"/>
      <x:c r="D1" s="4"/>
      <x:c r="E1" s="4"/>
    </x:row>
    <x:row r="2" ht="33" customHeight="1">
      <x:c r="A2" s="11" t="str">
        <x:v>8 đăng ký đã duyệt. Ngày được biểu diễn là chữ trong bản demo, không dùng serial Excel thô.</x:v>
      </x:c>
      <x:c r="B2" s="11"/>
      <x:c r="C2" s="11"/>
      <x:c r="D2" s="11"/>
      <x:c r="E2" s="11"/>
    </x:row>
    <x:row r="4" ht="30" customHeight="1">
      <x:c r="A4" s="19" t="str">
        <x:v>Id</x:v>
      </x:c>
      <x:c r="B4" s="19" t="str">
        <x:v>Nhomid</x:v>
      </x:c>
      <x:c r="C4" s="19" t="str">
        <x:v>Detaiid</x:v>
      </x:c>
      <x:c r="D4" s="19" t="str">
        <x:v>Trangthai</x:v>
      </x:c>
      <x:c r="E4" s="19" t="str">
        <x:v>Ngaydangky</x:v>
      </x:c>
    </x:row>
    <x:row r="5" ht="24" customHeight="1">
      <x:c r="A5" t="n">
        <x:v>1</x:v>
      </x:c>
      <x:c r="B5" t="n">
        <x:v>1</x:v>
      </x:c>
      <x:c r="C5" t="n">
        <x:v>1</x:v>
      </x:c>
      <x:c r="D5" t="str">
        <x:v>DADUYET</x:v>
      </x:c>
      <x:c r="E5" t="str">
        <x:v>2026-10-02 09:00:00</x:v>
      </x:c>
    </x:row>
    <x:row r="6" ht="24" customHeight="1">
      <x:c r="A6" s="24" t="n">
        <x:v>2</x:v>
      </x:c>
      <x:c r="B6" s="24" t="n">
        <x:v>2</x:v>
      </x:c>
      <x:c r="C6" s="24" t="n">
        <x:v>2</x:v>
      </x:c>
      <x:c r="D6" s="24" t="str">
        <x:v>DADUYET</x:v>
      </x:c>
      <x:c r="E6" s="24" t="str">
        <x:v>2026-10-03 09:00:00</x:v>
      </x:c>
    </x:row>
    <x:row r="7" ht="24" customHeight="1">
      <x:c r="A7" t="n">
        <x:v>3</x:v>
      </x:c>
      <x:c r="B7" t="n">
        <x:v>3</x:v>
      </x:c>
      <x:c r="C7" t="n">
        <x:v>3</x:v>
      </x:c>
      <x:c r="D7" t="str">
        <x:v>DADUYET</x:v>
      </x:c>
      <x:c r="E7" t="str">
        <x:v>2026-10-04 09:00:00</x:v>
      </x:c>
    </x:row>
    <x:row r="8" ht="24" customHeight="1">
      <x:c r="A8" s="24" t="n">
        <x:v>4</x:v>
      </x:c>
      <x:c r="B8" s="24" t="n">
        <x:v>4</x:v>
      </x:c>
      <x:c r="C8" s="24" t="n">
        <x:v>4</x:v>
      </x:c>
      <x:c r="D8" s="24" t="str">
        <x:v>DADUYET</x:v>
      </x:c>
      <x:c r="E8" s="24" t="str">
        <x:v>2026-10-05 09:00:00</x:v>
      </x:c>
    </x:row>
    <x:row r="9" ht="24" customHeight="1">
      <x:c r="A9" t="n">
        <x:v>5</x:v>
      </x:c>
      <x:c r="B9" t="n">
        <x:v>5</x:v>
      </x:c>
      <x:c r="C9" t="n">
        <x:v>5</x:v>
      </x:c>
      <x:c r="D9" t="str">
        <x:v>DADUYET</x:v>
      </x:c>
      <x:c r="E9" t="str">
        <x:v>2026-10-06 09:00:00</x:v>
      </x:c>
    </x:row>
    <x:row r="10" ht="24" customHeight="1">
      <x:c r="A10" s="24" t="n">
        <x:v>6</x:v>
      </x:c>
      <x:c r="B10" s="24" t="n">
        <x:v>6</x:v>
      </x:c>
      <x:c r="C10" s="24" t="n">
        <x:v>6</x:v>
      </x:c>
      <x:c r="D10" s="24" t="str">
        <x:v>DADUYET</x:v>
      </x:c>
      <x:c r="E10" s="24" t="str">
        <x:v>2026-10-07 09:00:00</x:v>
      </x:c>
    </x:row>
    <x:row r="11" ht="24" customHeight="1">
      <x:c r="A11" t="n">
        <x:v>7</x:v>
      </x:c>
      <x:c r="B11" t="n">
        <x:v>7</x:v>
      </x:c>
      <x:c r="C11" t="n">
        <x:v>7</x:v>
      </x:c>
      <x:c r="D11" t="str">
        <x:v>DADUYET</x:v>
      </x:c>
      <x:c r="E11" t="str">
        <x:v>2026-10-08 09:00:00</x:v>
      </x:c>
    </x:row>
    <x:row r="12" ht="24" customHeight="1">
      <x:c r="A12" s="24" t="n">
        <x:v>8</x:v>
      </x:c>
      <x:c r="B12" s="24" t="n">
        <x:v>8</x:v>
      </x:c>
      <x:c r="C12" s="24" t="n">
        <x:v>8</x:v>
      </x:c>
      <x:c r="D12" s="24" t="str">
        <x:v>DADUYET</x:v>
      </x:c>
      <x:c r="E12" s="24" t="str">
        <x:v>2026-10-09 09:00:00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9" hidden="0" customWidth="1"/>
    <x:col min="4" max="4" width="15" hidden="0" customWidth="1"/>
    <x:col min="5" max="5" width="22" hidden="0" customWidth="1"/>
  </x:cols>
  <x:sheetData>
    <x:row r="1" ht="36" customHeight="1">
      <x:c r="A1" s="4" t="str">
        <x:v>GIẢNG VIÊN THAM CHIẾU</x:v>
      </x:c>
      <x:c r="B1" s="4"/>
      <x:c r="C1" s="4"/>
      <x:c r="D1" s="4"/>
      <x:c r="E1" s="4"/>
    </x:row>
    <x:row r="2" ht="33" customHeight="1">
      <x:c r="A2" s="11" t="str">
        <x:v>Chỉ số ID và mã giảng viên; tài khoản/mật khẩu không được sao chép sang file demo.</x:v>
      </x:c>
      <x:c r="B2" s="11"/>
      <x:c r="C2" s="11"/>
      <x:c r="D2" s="11"/>
      <x:c r="E2" s="11"/>
    </x:row>
    <x:row r="4" ht="30" customHeight="1">
      <x:c r="A4" s="19" t="str">
        <x:v>Id</x:v>
      </x:c>
      <x:c r="B4" s="19" t="str">
        <x:v>Taikhoanid</x:v>
      </x:c>
      <x:c r="C4" s="19" t="str">
        <x:v>Magiangvien</x:v>
      </x:c>
      <x:c r="D4" s="19" t="str">
        <x:v>Bomonid</x:v>
      </x:c>
      <x:c r="E4" s="19" t="str">
        <x:v>QuyenNhapDiem</x:v>
      </x:c>
    </x:row>
    <x:row r="5" ht="24" customHeight="1">
      <x:c r="A5" t="n">
        <x:v>1</x:v>
      </x:c>
      <x:c r="B5" t="n">
        <x:v>1</x:v>
      </x:c>
      <x:c r="C5" t="str">
        <x:v>TK001</x:v>
      </x:c>
      <x:c r="D5" t="n">
        <x:v>1</x:v>
      </x:c>
      <x:c r="E5" t="str">
        <x:v>CAN_KIEM_TRA</x:v>
      </x:c>
    </x:row>
    <x:row r="6" ht="24" customHeight="1">
      <x:c r="A6" s="24" t="n">
        <x:v>2</x:v>
      </x:c>
      <x:c r="B6" s="24" t="n">
        <x:v>2</x:v>
      </x:c>
      <x:c r="C6" s="24" t="str">
        <x:v>GV001</x:v>
      </x:c>
      <x:c r="D6" s="24" t="n">
        <x:v>1</x:v>
      </x:c>
      <x:c r="E6" s="24" t="str">
        <x:v>CAN_KIEM_TRA</x:v>
      </x:c>
    </x:row>
    <x:row r="7" ht="24" customHeight="1">
      <x:c r="A7" t="n">
        <x:v>3</x:v>
      </x:c>
      <x:c r="B7" t="n">
        <x:v>3</x:v>
      </x:c>
      <x:c r="C7" t="str">
        <x:v>GV002</x:v>
      </x:c>
      <x:c r="D7" t="n">
        <x:v>2</x:v>
      </x:c>
      <x:c r="E7" t="str">
        <x:v>CAN_KIEM_TRA</x:v>
      </x:c>
    </x:row>
    <x:row r="8" ht="24" customHeight="1">
      <x:c r="A8" s="24" t="n">
        <x:v>4</x:v>
      </x:c>
      <x:c r="B8" s="24" t="n">
        <x:v>4</x:v>
      </x:c>
      <x:c r="C8" s="24" t="str">
        <x:v>GV003</x:v>
      </x:c>
      <x:c r="D8" s="24" t="n">
        <x:v>3</x:v>
      </x:c>
      <x:c r="E8" s="24" t="str">
        <x:v>CAN_KIEM_TRA</x:v>
      </x:c>
    </x:row>
    <x:row r="9" ht="24" customHeight="1">
      <x:c r="A9" t="n">
        <x:v>5</x:v>
      </x:c>
      <x:c r="B9" t="n">
        <x:v>5</x:v>
      </x:c>
      <x:c r="C9" t="str">
        <x:v>GV004</x:v>
      </x:c>
      <x:c r="D9" t="n">
        <x:v>4</x:v>
      </x:c>
      <x:c r="E9" t="str">
        <x:v>CAN_KIEM_TRA</x:v>
      </x:c>
    </x:row>
    <x:row r="10" ht="24" customHeight="1">
      <x:c r="A10" s="24" t="n">
        <x:v>6</x:v>
      </x:c>
      <x:c r="B10" s="24" t="n">
        <x:v>6</x:v>
      </x:c>
      <x:c r="C10" s="24" t="str">
        <x:v>GV005</x:v>
      </x:c>
      <x:c r="D10" s="24" t="n">
        <x:v>5</x:v>
      </x:c>
      <x:c r="E10" s="24" t="str">
        <x:v>CAN_KIEM_TRA</x:v>
      </x:c>
    </x:row>
    <x:row r="11" ht="24" customHeight="1">
      <x:c r="A11" t="n">
        <x:v>7</x:v>
      </x:c>
      <x:c r="B11" t="n">
        <x:v>7</x:v>
      </x:c>
      <x:c r="C11" t="str">
        <x:v>GV006</x:v>
      </x:c>
      <x:c r="D11" t="n">
        <x:v>1</x:v>
      </x:c>
      <x:c r="E11" t="str">
        <x:v>GIANGVIEN</x:v>
      </x:c>
    </x:row>
    <x:row r="12" ht="24" customHeight="1">
      <x:c r="A12" s="24" t="n">
        <x:v>8</x:v>
      </x:c>
      <x:c r="B12" s="24" t="n">
        <x:v>8</x:v>
      </x:c>
      <x:c r="C12" s="24" t="str">
        <x:v>GV007</x:v>
      </x:c>
      <x:c r="D12" s="24" t="n">
        <x:v>2</x:v>
      </x:c>
      <x:c r="E12" s="24" t="str">
        <x:v>GIANGVIEN</x:v>
      </x:c>
    </x:row>
    <x:row r="13" ht="24" customHeight="1">
      <x:c r="A13" t="n">
        <x:v>9</x:v>
      </x:c>
      <x:c r="B13" t="n">
        <x:v>9</x:v>
      </x:c>
      <x:c r="C13" t="str">
        <x:v>GV008</x:v>
      </x:c>
      <x:c r="D13" t="n">
        <x:v>3</x:v>
      </x:c>
      <x:c r="E13" t="str">
        <x:v>GIANGVIEN</x:v>
      </x:c>
    </x:row>
    <x:row r="14" ht="24" customHeight="1">
      <x:c r="A14" s="24" t="n">
        <x:v>10</x:v>
      </x:c>
      <x:c r="B14" s="24" t="n">
        <x:v>10</x:v>
      </x:c>
      <x:c r="C14" s="24" t="str">
        <x:v>GV009</x:v>
      </x:c>
      <x:c r="D14" s="24" t="n">
        <x:v>4</x:v>
      </x:c>
      <x:c r="E14" s="24" t="str">
        <x:v>GIANGVIEN</x:v>
      </x:c>
    </x:row>
    <x:row r="15" ht="24" customHeight="1">
      <x:c r="A15" t="n">
        <x:v>11</x:v>
      </x:c>
      <x:c r="B15" t="n">
        <x:v>11</x:v>
      </x:c>
      <x:c r="C15" t="str">
        <x:v>GV010</x:v>
      </x:c>
      <x:c r="D15" t="n">
        <x:v>5</x:v>
      </x:c>
      <x:c r="E15" t="str">
        <x:v>GIANGVIEN</x:v>
      </x:c>
    </x:row>
    <x:row r="16" ht="24" customHeight="1">
      <x:c r="A16" s="24" t="n">
        <x:v>12</x:v>
      </x:c>
      <x:c r="B16" s="24" t="n">
        <x:v>12</x:v>
      </x:c>
      <x:c r="C16" s="24" t="str">
        <x:v>GV011</x:v>
      </x:c>
      <x:c r="D16" s="24" t="n">
        <x:v>1</x:v>
      </x:c>
      <x:c r="E16" s="24" t="str">
        <x:v>GIANGVIEN</x:v>
      </x:c>
    </x:row>
    <x:row r="17" ht="24" customHeight="1">
      <x:c r="A17" t="n">
        <x:v>13</x:v>
      </x:c>
      <x:c r="B17" t="n">
        <x:v>13</x:v>
      </x:c>
      <x:c r="C17" t="str">
        <x:v>GV012</x:v>
      </x:c>
      <x:c r="D17" t="n">
        <x:v>2</x:v>
      </x:c>
      <x:c r="E17" t="str">
        <x:v>GIANGVIEN</x:v>
      </x:c>
    </x:row>
    <x:row r="18" ht="24" customHeight="1">
      <x:c r="A18" s="24" t="n">
        <x:v>14</x:v>
      </x:c>
      <x:c r="B18" s="24" t="n">
        <x:v>14</x:v>
      </x:c>
      <x:c r="C18" s="24" t="str">
        <x:v>GV013</x:v>
      </x:c>
      <x:c r="D18" s="24" t="n">
        <x:v>3</x:v>
      </x:c>
      <x:c r="E18" s="24" t="str">
        <x:v>GIANGVIEN</x:v>
      </x:c>
    </x:row>
    <x:row r="19" ht="24" customHeight="1">
      <x:c r="A19" t="n">
        <x:v>15</x:v>
      </x:c>
      <x:c r="B19" t="n">
        <x:v>15</x:v>
      </x:c>
      <x:c r="C19" t="str">
        <x:v>GV014</x:v>
      </x:c>
      <x:c r="D19" t="n">
        <x:v>4</x:v>
      </x:c>
      <x:c r="E19" t="str">
        <x:v>GIANGVIEN</x:v>
      </x:c>
    </x:row>
    <x:row r="20" ht="24" customHeight="1">
      <x:c r="A20" s="24" t="n">
        <x:v>16</x:v>
      </x:c>
      <x:c r="B20" s="24" t="n">
        <x:v>16</x:v>
      </x:c>
      <x:c r="C20" s="24" t="str">
        <x:v>GV015</x:v>
      </x:c>
      <x:c r="D20" s="24" t="n">
        <x:v>5</x:v>
      </x:c>
      <x:c r="E20" s="24" t="str">
        <x:v>GIANGVIEN</x:v>
      </x:c>
    </x:row>
    <x:row r="21" ht="24" customHeight="1">
      <x:c r="A21" t="n">
        <x:v>17</x:v>
      </x:c>
      <x:c r="B21" t="n">
        <x:v>17</x:v>
      </x:c>
      <x:c r="C21" t="str">
        <x:v>GV016</x:v>
      </x:c>
      <x:c r="D21" t="n">
        <x:v>1</x:v>
      </x:c>
      <x:c r="E21" t="str">
        <x:v>GIANGVIEN</x:v>
      </x:c>
    </x:row>
    <x:row r="22" ht="24" customHeight="1">
      <x:c r="A22" s="24" t="n">
        <x:v>18</x:v>
      </x:c>
      <x:c r="B22" s="24" t="n">
        <x:v>18</x:v>
      </x:c>
      <x:c r="C22" s="24" t="str">
        <x:v>GV017</x:v>
      </x:c>
      <x:c r="D22" s="24" t="n">
        <x:v>2</x:v>
      </x:c>
      <x:c r="E22" s="24" t="str">
        <x:v>GIANGVIEN</x:v>
      </x:c>
    </x:row>
    <x:row r="23" ht="24" customHeight="1">
      <x:c r="A23" t="n">
        <x:v>19</x:v>
      </x:c>
      <x:c r="B23" t="n">
        <x:v>19</x:v>
      </x:c>
      <x:c r="C23" t="str">
        <x:v>GV018</x:v>
      </x:c>
      <x:c r="D23" t="n">
        <x:v>3</x:v>
      </x:c>
      <x:c r="E23" t="str">
        <x:v>GIANGVIEN</x:v>
      </x:c>
    </x:row>
    <x:row r="24" ht="24" customHeight="1">
      <x:c r="A24" s="24" t="n">
        <x:v>20</x:v>
      </x:c>
      <x:c r="B24" s="24" t="n">
        <x:v>20</x:v>
      </x:c>
      <x:c r="C24" s="24" t="str">
        <x:v>GV019</x:v>
      </x:c>
      <x:c r="D24" s="24" t="n">
        <x:v>4</x:v>
      </x:c>
      <x:c r="E24" s="24" t="str">
        <x:v>GIANGVIEN</x:v>
      </x:c>
    </x:row>
    <x:row r="25" ht="24" customHeight="1">
      <x:c r="A25" t="n">
        <x:v>21</x:v>
      </x:c>
      <x:c r="B25" t="n">
        <x:v>21</x:v>
      </x:c>
      <x:c r="C25" t="str">
        <x:v>GV020</x:v>
      </x:c>
      <x:c r="D25" t="n">
        <x:v>5</x:v>
      </x:c>
      <x:c r="E25" t="str">
        <x:v>GIANGVIEN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9" hidden="0" customWidth="1"/>
  </x:cols>
  <x:sheetData>
    <x:row r="1" ht="36" customHeight="1">
      <x:c r="A1" s="4" t="str">
        <x:v>PHÂN CÔNG GVHD</x:v>
      </x:c>
      <x:c r="B1" s="4"/>
    </x:row>
    <x:row r="2" ht="33" customHeight="1">
      <x:c r="A2" s="11" t="str">
        <x:v>Giữ nguyên quan hệ hướng dẫn từ Excel cho 8 đề tài đầu.</x:v>
      </x:c>
      <x:c r="B2" s="11"/>
    </x:row>
    <x:row r="4" ht="30" customHeight="1">
      <x:c r="A4" s="19" t="str">
        <x:v>Detaiid</x:v>
      </x:c>
      <x:c r="B4" s="19" t="str">
        <x:v>Giangvienid</x:v>
      </x:c>
    </x:row>
    <x:row r="5" ht="24" customHeight="1">
      <x:c r="A5" t="n">
        <x:v>1</x:v>
      </x:c>
      <x:c r="B5" t="n">
        <x:v>2</x:v>
      </x:c>
    </x:row>
    <x:row r="6" ht="24" customHeight="1">
      <x:c r="A6" s="24" t="n">
        <x:v>2</x:v>
      </x:c>
      <x:c r="B6" s="24" t="n">
        <x:v>3</x:v>
      </x:c>
    </x:row>
    <x:row r="7" ht="24" customHeight="1">
      <x:c r="A7" t="n">
        <x:v>3</x:v>
      </x:c>
      <x:c r="B7" t="n">
        <x:v>4</x:v>
      </x:c>
    </x:row>
    <x:row r="8" ht="24" customHeight="1">
      <x:c r="A8" s="24" t="n">
        <x:v>4</x:v>
      </x:c>
      <x:c r="B8" s="24" t="n">
        <x:v>5</x:v>
      </x:c>
    </x:row>
    <x:row r="9" ht="24" customHeight="1">
      <x:c r="A9" t="n">
        <x:v>4</x:v>
      </x:c>
      <x:c r="B9" t="n">
        <x:v>11</x:v>
      </x:c>
    </x:row>
    <x:row r="10" ht="24" customHeight="1">
      <x:c r="A10" s="24" t="n">
        <x:v>5</x:v>
      </x:c>
      <x:c r="B10" s="24" t="n">
        <x:v>6</x:v>
      </x:c>
    </x:row>
    <x:row r="11" ht="24" customHeight="1">
      <x:c r="A11" t="n">
        <x:v>6</x:v>
      </x:c>
      <x:c r="B11" t="n">
        <x:v>7</x:v>
      </x:c>
    </x:row>
    <x:row r="12" ht="24" customHeight="1">
      <x:c r="A12" s="24" t="n">
        <x:v>7</x:v>
      </x:c>
      <x:c r="B12" s="24" t="n">
        <x:v>8</x:v>
      </x:c>
    </x:row>
    <x:row r="13" ht="24" customHeight="1">
      <x:c r="A13" t="n">
        <x:v>8</x:v>
      </x:c>
      <x:c r="B13" t="n">
        <x:v>9</x:v>
      </x:c>
    </x:row>
    <x:row r="14" ht="24" customHeight="1">
      <x:c r="A14" s="24" t="n">
        <x:v>8</x:v>
      </x:c>
      <x:c r="B14" s="24" t="n">
        <x:v>15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</x:cols>
  <x:sheetData>
    <x:row r="1" ht="36" customHeight="1">
      <x:c r="A1" s="4" t="str">
        <x:v>PHẢN BIỆN DEMO</x:v>
      </x:c>
      <x:c r="B1" s="4"/>
      <x:c r="C1" s="4"/>
    </x:row>
    <x:row r="2" ht="33" customHeight="1">
      <x:c r="A2" s="11" t="str">
        <x:v>Đã cố ý thay đổi so với Excel gốc để khớp giảng viên có điểm. KHÔNG ghi đè phân công thật.</x:v>
      </x:c>
      <x:c r="B2" s="11"/>
      <x:c r="C2" s="11"/>
    </x:row>
    <x:row r="4" ht="30" customHeight="1">
      <x:c r="A4" s="19" t="str">
        <x:v>Id</x:v>
      </x:c>
      <x:c r="B4" s="19" t="str">
        <x:v>Dangkydetaiid</x:v>
      </x:c>
      <x:c r="C4" s="19" t="str">
        <x:v>Giangvienid</x:v>
      </x:c>
    </x:row>
    <x:row r="5" ht="24" customHeight="1">
      <x:c r="A5" t="n">
        <x:v>1</x:v>
      </x:c>
      <x:c r="B5" t="n">
        <x:v>1</x:v>
      </x:c>
      <x:c r="C5" t="n">
        <x:v>7</x:v>
      </x:c>
    </x:row>
    <x:row r="6" ht="24" customHeight="1">
      <x:c r="A6" s="24" t="n">
        <x:v>2</x:v>
      </x:c>
      <x:c r="B6" s="24" t="n">
        <x:v>2</x:v>
      </x:c>
      <x:c r="C6" s="24" t="n">
        <x:v>8</x:v>
      </x:c>
    </x:row>
    <x:row r="7" ht="24" customHeight="1">
      <x:c r="A7" t="n">
        <x:v>3</x:v>
      </x:c>
      <x:c r="B7" t="n">
        <x:v>3</x:v>
      </x:c>
      <x:c r="C7" t="n">
        <x:v>12</x:v>
      </x:c>
    </x:row>
    <x:row r="8" ht="24" customHeight="1">
      <x:c r="A8" s="24" t="n">
        <x:v>4</x:v>
      </x:c>
      <x:c r="B8" s="24" t="n">
        <x:v>4</x:v>
      </x:c>
      <x:c r="C8" s="24" t="n">
        <x:v>15</x:v>
      </x:c>
    </x:row>
    <x:row r="9" ht="24" customHeight="1">
      <x:c r="A9" t="n">
        <x:v>5</x:v>
      </x:c>
      <x:c r="B9" t="n">
        <x:v>5</x:v>
      </x:c>
      <x:c r="C9" t="n">
        <x:v>9</x:v>
      </x:c>
    </x:row>
    <x:row r="10" ht="24" customHeight="1">
      <x:c r="A10" s="24" t="n">
        <x:v>6</x:v>
      </x:c>
      <x:c r="B10" s="24" t="n">
        <x:v>6</x:v>
      </x:c>
      <x:c r="C10" s="24" t="n">
        <x:v>10</x:v>
      </x:c>
    </x:row>
    <x:row r="11" ht="24" customHeight="1">
      <x:c r="A11" t="n">
        <x:v>7</x:v>
      </x:c>
      <x:c r="B11" t="n">
        <x:v>7</x:v>
      </x:c>
      <x:c r="C11" t="n">
        <x:v>11</x:v>
      </x:c>
    </x:row>
    <x:row r="12" ht="24" customHeight="1">
      <x:c r="A12" s="24" t="n">
        <x:v>8</x:v>
      </x:c>
      <x:c r="B12" s="24" t="n">
        <x:v>8</x:v>
      </x:c>
      <x:c r="C12" s="24" t="n">
        <x:v>16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5" hidden="0" customWidth="1"/>
    <x:col min="4" max="4" width="25" hidden="0" customWidth="1"/>
    <x:col min="5" max="5" width="17" hidden="0" customWidth="1"/>
  </x:cols>
  <x:sheetData>
    <x:row r="1" ht="36" customHeight="1">
      <x:c r="A1" s="4" t="str">
        <x:v>HỘI ĐỒNG DEMO</x:v>
      </x:c>
      <x:c r="B1" s="4"/>
      <x:c r="C1" s="4"/>
      <x:c r="D1" s="4"/>
      <x:c r="E1" s="4"/>
    </x:row>
    <x:row r="2" ht="33" customHeight="1">
      <x:c r="A2" s="11" t="str">
        <x:v>3 hội đồng hoàn toàn mới để minh họa, không có trong Excel gốc và không được trộn vào database hiện tại.</x:v>
      </x:c>
      <x:c r="B2" s="11"/>
      <x:c r="C2" s="11"/>
      <x:c r="D2" s="11"/>
      <x:c r="E2" s="11"/>
    </x:row>
    <x:row r="4" ht="30" customHeight="1">
      <x:c r="A4" s="19" t="str">
        <x:v>Id</x:v>
      </x:c>
      <x:c r="B4" s="19" t="str">
        <x:v>Dotdangkyid</x:v>
      </x:c>
      <x:c r="C4" s="19" t="str">
        <x:v>Tenhoidong</x:v>
      </x:c>
      <x:c r="D4" s="19" t="str">
        <x:v>Ngaybaocao</x:v>
      </x:c>
      <x:c r="E4" s="19" t="str">
        <x:v>Phong</x:v>
      </x:c>
    </x:row>
    <x:row r="5" ht="24" customHeight="1">
      <x:c r="A5" t="n">
        <x:v>101</x:v>
      </x:c>
      <x:c r="B5" t="n">
        <x:v>3</x:v>
      </x:c>
      <x:c r="C5" t="str">
        <x:v>Hội đồng DEMO TLCN 01</x:v>
      </x:c>
      <x:c r="D5" t="str">
        <x:v>2026-10-25 08:00:00</x:v>
      </x:c>
      <x:c r="E5" t="str">
        <x:v>DEMO-A101</x:v>
      </x:c>
    </x:row>
    <x:row r="6" ht="24" customHeight="1">
      <x:c r="A6" s="24" t="n">
        <x:v>102</x:v>
      </x:c>
      <x:c r="B6" s="24" t="n">
        <x:v>4</x:v>
      </x:c>
      <x:c r="C6" s="24" t="str">
        <x:v>Hội đồng DEMO KLTN 01</x:v>
      </x:c>
      <x:c r="D6" s="24" t="str">
        <x:v>2026-10-26 08:00:00</x:v>
      </x:c>
      <x:c r="E6" s="24" t="str">
        <x:v>DEMO-B102</x:v>
      </x:c>
    </x:row>
    <x:row r="7" ht="24" customHeight="1">
      <x:c r="A7" t="n">
        <x:v>103</x:v>
      </x:c>
      <x:c r="B7" t="n">
        <x:v>4</x:v>
      </x:c>
      <x:c r="C7" t="str">
        <x:v>Hội đồng DEMO KLTN 02</x:v>
      </x:c>
      <x:c r="D7" t="str">
        <x:v>2026-10-27 08:00:00</x:v>
      </x:c>
      <x:c r="E7" t="str">
        <x:v>DEMO-B103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</x:cols>
  <x:sheetData>
    <x:row r="1" ht="36" customHeight="1">
      <x:c r="A1" s="4" t="str">
        <x:v>THÀNH VIÊN HỘI ĐỒNG DEMO</x:v>
      </x:c>
      <x:c r="B1" s="4"/>
      <x:c r="C1" s="4"/>
    </x:row>
    <x:row r="2" ht="33" customHeight="1">
      <x:c r="A2" s="11" t="str">
        <x:v>Mỗi hội đồng 3 GV; không trùng GVHD của đề tài demo được phân công.</x:v>
      </x:c>
      <x:c r="B2" s="11"/>
      <x:c r="C2" s="11"/>
    </x:row>
    <x:row r="4" ht="30" customHeight="1">
      <x:c r="A4" s="19" t="str">
        <x:v>Hoidongid</x:v>
      </x:c>
      <x:c r="B4" s="19" t="str">
        <x:v>Giangvienid</x:v>
      </x:c>
      <x:c r="C4" s="19" t="str">
        <x:v>Vaitro</x:v>
      </x:c>
    </x:row>
    <x:row r="5" ht="24" customHeight="1">
      <x:c r="A5" t="n">
        <x:v>101</x:v>
      </x:c>
      <x:c r="B5" t="n">
        <x:v>12</x:v>
      </x:c>
      <x:c r="C5" t="str">
        <x:v>CHUTICH</x:v>
      </x:c>
    </x:row>
    <x:row r="6" ht="24" customHeight="1">
      <x:c r="A6" s="24" t="n">
        <x:v>101</x:v>
      </x:c>
      <x:c r="B6" s="24" t="n">
        <x:v>13</x:v>
      </x:c>
      <x:c r="C6" s="24" t="str">
        <x:v>THUKY</x:v>
      </x:c>
    </x:row>
    <x:row r="7" ht="24" customHeight="1">
      <x:c r="A7" t="n">
        <x:v>101</x:v>
      </x:c>
      <x:c r="B7" t="n">
        <x:v>14</x:v>
      </x:c>
      <x:c r="C7" t="str">
        <x:v>THANHVIEN</x:v>
      </x:c>
    </x:row>
    <x:row r="8" ht="24" customHeight="1">
      <x:c r="A8" s="24" t="n">
        <x:v>102</x:v>
      </x:c>
      <x:c r="B8" s="24" t="n">
        <x:v>15</x:v>
      </x:c>
      <x:c r="C8" s="24" t="str">
        <x:v>CHUTICH</x:v>
      </x:c>
    </x:row>
    <x:row r="9" ht="24" customHeight="1">
      <x:c r="A9" t="n">
        <x:v>102</x:v>
      </x:c>
      <x:c r="B9" t="n">
        <x:v>16</x:v>
      </x:c>
      <x:c r="C9" t="str">
        <x:v>THUKY</x:v>
      </x:c>
    </x:row>
    <x:row r="10" ht="24" customHeight="1">
      <x:c r="A10" s="24" t="n">
        <x:v>102</x:v>
      </x:c>
      <x:c r="B10" s="24" t="n">
        <x:v>17</x:v>
      </x:c>
      <x:c r="C10" s="24" t="str">
        <x:v>THANHVIEN</x:v>
      </x:c>
    </x:row>
    <x:row r="11" ht="24" customHeight="1">
      <x:c r="A11" t="n">
        <x:v>103</x:v>
      </x:c>
      <x:c r="B11" t="n">
        <x:v>16</x:v>
      </x:c>
      <x:c r="C11" t="str">
        <x:v>CHUTICH</x:v>
      </x:c>
    </x:row>
    <x:row r="12" ht="24" customHeight="1">
      <x:c r="A12" s="24" t="n">
        <x:v>103</x:v>
      </x:c>
      <x:c r="B12" s="24" t="n">
        <x:v>17</x:v>
      </x:c>
      <x:c r="C12" s="24" t="str">
        <x:v>THUKY</x:v>
      </x:c>
    </x:row>
    <x:row r="13" ht="24" customHeight="1">
      <x:c r="A13" t="n">
        <x:v>103</x:v>
      </x:c>
      <x:c r="B13" t="n">
        <x:v>18</x:v>
      </x:c>
      <x:c r="C13" t="str">
        <x:v>THANHVIEN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17" hidden="0" customWidth="1"/>
  </x:cols>
  <x:sheetData>
    <x:row r="1" ht="36" customHeight="1">
      <x:c r="A1" s="4" t="str">
        <x:v>PHÂN CÔNG HỘI ĐỒNG DEMO</x:v>
      </x:c>
      <x:c r="B1" s="4"/>
      <x:c r="C1" s="4"/>
    </x:row>
    <x:row r="2" ht="33" customHeight="1">
      <x:c r="A2" s="11" t="str">
        <x:v>Đúng schema mới dự thảo: một đăng ký được xác nhận hình thức; KLTN bắt buộc hội đồng.</x:v>
      </x:c>
      <x:c r="B2" s="11"/>
      <x:c r="C2" s="11"/>
    </x:row>
    <x:row r="4" ht="30" customHeight="1">
      <x:c r="A4" s="19" t="str">
        <x:v>Dangkydetaiid</x:v>
      </x:c>
      <x:c r="B4" s="19" t="str">
        <x:v>Hinhthuc</x:v>
      </x:c>
      <x:c r="C4" s="19" t="str">
        <x:v>Hoidongid</x:v>
      </x:c>
    </x:row>
    <x:row r="5" ht="24" customHeight="1">
      <x:c r="A5" t="n">
        <x:v>1</x:v>
      </x:c>
      <x:c r="B5" t="str">
        <x:v>KHONGHOIDONG</x:v>
      </x:c>
      <x:c r="C5"/>
    </x:row>
    <x:row r="6" ht="24" customHeight="1">
      <x:c r="A6" s="24" t="n">
        <x:v>2</x:v>
      </x:c>
      <x:c r="B6" s="24" t="str">
        <x:v>KHONGHOIDONG</x:v>
      </x:c>
      <x:c r="C6" s="24"/>
    </x:row>
    <x:row r="7" ht="24" customHeight="1">
      <x:c r="A7" t="n">
        <x:v>3</x:v>
      </x:c>
      <x:c r="B7" t="str">
        <x:v>COHOIDONG</x:v>
      </x:c>
      <x:c r="C7" t="n">
        <x:v>101</x:v>
      </x:c>
    </x:row>
    <x:row r="8" ht="24" customHeight="1">
      <x:c r="A8" s="24" t="n">
        <x:v>4</x:v>
      </x:c>
      <x:c r="B8" s="24" t="str">
        <x:v>COHOIDONG</x:v>
      </x:c>
      <x:c r="C8" s="24" t="n">
        <x:v>102</x:v>
      </x:c>
    </x:row>
    <x:row r="9" ht="24" customHeight="1">
      <x:c r="A9" t="n">
        <x:v>5</x:v>
      </x:c>
      <x:c r="B9" t="str">
        <x:v>KHONGHOIDONG</x:v>
      </x:c>
      <x:c r="C9"/>
    </x:row>
    <x:row r="10" ht="24" customHeight="1">
      <x:c r="A10" s="24" t="n">
        <x:v>6</x:v>
      </x:c>
      <x:c r="B10" s="24" t="str">
        <x:v>KHONGHOIDONG</x:v>
      </x:c>
      <x:c r="C10" s="24"/>
    </x:row>
    <x:row r="11" ht="24" customHeight="1">
      <x:c r="A11" t="n">
        <x:v>7</x:v>
      </x:c>
      <x:c r="B11" t="str">
        <x:v>KHONGHOIDONG</x:v>
      </x:c>
      <x:c r="C11"/>
    </x:row>
    <x:row r="12" ht="24" customHeight="1">
      <x:c r="A12" s="24" t="n">
        <x:v>8</x:v>
      </x:c>
      <x:c r="B12" s="24" t="str">
        <x:v>COHOIDONG</x:v>
      </x:c>
      <x:c r="C12" s="24" t="n">
        <x:v>103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16" hidden="0" customWidth="1"/>
    <x:col min="5" max="5" width="47" hidden="0" customWidth="1"/>
  </x:cols>
  <x:sheetData>
    <x:row r="1" ht="36" customHeight="1">
      <x:c r="A1" s="4" t="str">
        <x:v>ĐIỂM THÀNH PHẦN DEMO</x:v>
      </x:c>
      <x:c r="B1" s="4"/>
      <x:c r="C1" s="4"/>
      <x:c r="D1" s="4"/>
      <x:c r="E1" s="4"/>
    </x:row>
    <x:row r="2" ht="33" customHeight="1">
      <x:c r="A2" s="11" t="str">
        <x:v>GV chấm hợp lệ và không trùng GVHD; đăng ký 6/8 cố ý thiếu điểm để thử từ chối công bố.</x:v>
      </x:c>
      <x:c r="B2" s="11"/>
      <x:c r="C2" s="11"/>
      <x:c r="D2" s="11"/>
      <x:c r="E2" s="11"/>
    </x:row>
    <x:row r="4" ht="30" customHeight="1">
      <x:c r="A4" s="19" t="str">
        <x:v>Id</x:v>
      </x:c>
      <x:c r="B4" s="19" t="str">
        <x:v>Dangkydetaiid</x:v>
      </x:c>
      <x:c r="C4" s="19" t="str">
        <x:v>Giangvienid</x:v>
      </x:c>
      <x:c r="D4" s="19" t="str">
        <x:v>Diemso</x:v>
      </x:c>
      <x:c r="E4" s="19" t="str">
        <x:v>Nhanxet</x:v>
      </x:c>
    </x:row>
    <x:row r="5" ht="24" customHeight="1">
      <x:c r="A5" t="n">
        <x:v>1</x:v>
      </x:c>
      <x:c r="B5" t="n">
        <x:v>1</x:v>
      </x:c>
      <x:c r="C5" t="n">
        <x:v>7</x:v>
      </x:c>
      <x:c r="D5" t="n">
        <x:v>8.2</x:v>
      </x:c>
      <x:c r="E5" t="str">
        <x:v>Nhận xét DEMO — chỉ phục vụ kiểm thử.</x:v>
      </x:c>
    </x:row>
    <x:row r="6" ht="24" customHeight="1">
      <x:c r="A6" s="24" t="n">
        <x:v>2</x:v>
      </x:c>
      <x:c r="B6" s="24" t="n">
        <x:v>2</x:v>
      </x:c>
      <x:c r="C6" s="24" t="n">
        <x:v>8</x:v>
      </x:c>
      <x:c r="D6" s="24" t="n">
        <x:v>7.6</x:v>
      </x:c>
      <x:c r="E6" s="24" t="str">
        <x:v>Nhận xét DEMO — chỉ phục vụ kiểm thử.</x:v>
      </x:c>
    </x:row>
    <x:row r="7" ht="24" customHeight="1">
      <x:c r="A7" t="n">
        <x:v>3</x:v>
      </x:c>
      <x:c r="B7" t="n">
        <x:v>3</x:v>
      </x:c>
      <x:c r="C7" t="n">
        <x:v>12</x:v>
      </x:c>
      <x:c r="D7" t="n">
        <x:v>8</x:v>
      </x:c>
      <x:c r="E7" t="str">
        <x:v>Nhận xét DEMO — chỉ phục vụ kiểm thử.</x:v>
      </x:c>
    </x:row>
    <x:row r="8" ht="24" customHeight="1">
      <x:c r="A8" s="24" t="n">
        <x:v>4</x:v>
      </x:c>
      <x:c r="B8" s="24" t="n">
        <x:v>3</x:v>
      </x:c>
      <x:c r="C8" s="24" t="n">
        <x:v>13</x:v>
      </x:c>
      <x:c r="D8" s="24" t="n">
        <x:v>8.5</x:v>
      </x:c>
      <x:c r="E8" s="24" t="str">
        <x:v>Nhận xét DEMO — chỉ phục vụ kiểm thử.</x:v>
      </x:c>
    </x:row>
    <x:row r="9" ht="24" customHeight="1">
      <x:c r="A9" t="n">
        <x:v>5</x:v>
      </x:c>
      <x:c r="B9" t="n">
        <x:v>3</x:v>
      </x:c>
      <x:c r="C9" t="n">
        <x:v>14</x:v>
      </x:c>
      <x:c r="D9" t="n">
        <x:v>9</x:v>
      </x:c>
      <x:c r="E9" t="str">
        <x:v>Nhận xét DEMO — chỉ phục vụ kiểm thử.</x:v>
      </x:c>
    </x:row>
    <x:row r="10" ht="24" customHeight="1">
      <x:c r="A10" s="24" t="n">
        <x:v>6</x:v>
      </x:c>
      <x:c r="B10" s="24" t="n">
        <x:v>4</x:v>
      </x:c>
      <x:c r="C10" s="24" t="n">
        <x:v>15</x:v>
      </x:c>
      <x:c r="D10" s="24" t="n">
        <x:v>7</x:v>
      </x:c>
      <x:c r="E10" s="24" t="str">
        <x:v>Nhận xét DEMO — chỉ phục vụ kiểm thử.</x:v>
      </x:c>
    </x:row>
    <x:row r="11" ht="24" customHeight="1">
      <x:c r="A11" t="n">
        <x:v>7</x:v>
      </x:c>
      <x:c r="B11" t="n">
        <x:v>4</x:v>
      </x:c>
      <x:c r="C11" t="n">
        <x:v>16</x:v>
      </x:c>
      <x:c r="D11" t="n">
        <x:v>8</x:v>
      </x:c>
      <x:c r="E11" t="str">
        <x:v>Nhận xét DEMO — chỉ phục vụ kiểm thử.</x:v>
      </x:c>
    </x:row>
    <x:row r="12" ht="24" customHeight="1">
      <x:c r="A12" s="24" t="n">
        <x:v>8</x:v>
      </x:c>
      <x:c r="B12" s="24" t="n">
        <x:v>4</x:v>
      </x:c>
      <x:c r="C12" s="24" t="n">
        <x:v>17</x:v>
      </x:c>
      <x:c r="D12" s="24" t="n">
        <x:v>9</x:v>
      </x:c>
      <x:c r="E12" s="24" t="str">
        <x:v>Nhận xét DEMO — chỉ phục vụ kiểm thử.</x:v>
      </x:c>
    </x:row>
    <x:row r="13" ht="24" customHeight="1">
      <x:c r="A13" t="n">
        <x:v>9</x:v>
      </x:c>
      <x:c r="B13" t="n">
        <x:v>5</x:v>
      </x:c>
      <x:c r="C13" t="n">
        <x:v>9</x:v>
      </x:c>
      <x:c r="D13" t="n">
        <x:v>8</x:v>
      </x:c>
      <x:c r="E13" t="str">
        <x:v>Nhận xét DEMO — chỉ phục vụ kiểm thử.</x:v>
      </x:c>
    </x:row>
    <x:row r="14" ht="24" customHeight="1">
      <x:c r="A14" s="24" t="n">
        <x:v>10</x:v>
      </x:c>
      <x:c r="B14" s="24" t="n">
        <x:v>7</x:v>
      </x:c>
      <x:c r="C14" s="24" t="n">
        <x:v>11</x:v>
      </x:c>
      <x:c r="D14" s="24" t="n">
        <x:v>7.5</x:v>
      </x:c>
      <x:c r="E14" s="24" t="str">
        <x:v>Nhận xét DEMO — chỉ phục vụ kiểm thử.</x:v>
      </x:c>
    </x:row>
    <x:row r="15" ht="24" customHeight="1">
      <x:c r="A15" t="n">
        <x:v>11</x:v>
      </x:c>
      <x:c r="B15" t="n">
        <x:v>8</x:v>
      </x:c>
      <x:c r="C15" t="n">
        <x:v>16</x:v>
      </x:c>
      <x:c r="D15" t="n">
        <x:v>9</x:v>
      </x:c>
      <x:c r="E15" t="str">
        <x:v>Nhận xét DEMO — chỉ phục vụ kiểm thử.</x:v>
      </x:c>
    </x:row>
    <x:row r="16" ht="24" customHeight="1">
      <x:c r="A16" s="24" t="n">
        <x:v>12</x:v>
      </x:c>
      <x:c r="B16" s="24" t="n">
        <x:v>8</x:v>
      </x:c>
      <x:c r="C16" s="24" t="n">
        <x:v>17</x:v>
      </x:c>
      <x:c r="D16" s="24" t="n">
        <x:v>8</x:v>
      </x:c>
      <x:c r="E16" s="24" t="str">
        <x:v>Nhận xét DEMO — chỉ phục vụ kiểm thử.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6" hidden="0" customWidth="1"/>
    <x:col min="4" max="4" width="17" hidden="0" customWidth="1"/>
    <x:col min="5" max="5" width="27" hidden="0" customWidth="1"/>
  </x:cols>
  <x:sheetData>
    <x:row r="1" ht="36" customHeight="1">
      <x:c r="A1" s="4" t="str">
        <x:v>KẾT QUẢ DEMO</x:v>
      </x:c>
      <x:c r="B1" s="4"/>
      <x:c r="C1" s="4"/>
      <x:c r="D1" s="4"/>
      <x:c r="E1" s="4"/>
    </x:row>
    <x:row r="2" ht="33" customHeight="1">
      <x:c r="A2" s="11" t="str">
        <x:v>Chỉ ID 5 đã công bố; ID 1–4,7 hợp lệ chưa công bố; ID 6,8 thiếu điểm, không được công bố.</x:v>
      </x:c>
      <x:c r="B2" s="11"/>
      <x:c r="C2" s="11"/>
      <x:c r="D2" s="11"/>
      <x:c r="E2" s="11"/>
    </x:row>
    <x:row r="4" ht="30" customHeight="1">
      <x:c r="A4" s="19" t="str">
        <x:v>Id</x:v>
      </x:c>
      <x:c r="B4" s="19" t="str">
        <x:v>Dangkydetaiid</x:v>
      </x:c>
      <x:c r="C4" s="19" t="str">
        <x:v>Diemcuoi</x:v>
      </x:c>
      <x:c r="D4" s="19" t="str">
        <x:v>Dacongbo</x:v>
      </x:c>
      <x:c r="E4" s="19" t="str">
        <x:v>Ngaycongbo</x:v>
      </x:c>
    </x:row>
    <x:row r="5" ht="24" customHeight="1">
      <x:c r="A5" t="n">
        <x:v>1</x:v>
      </x:c>
      <x:c r="B5" t="n">
        <x:v>1</x:v>
      </x:c>
      <x:c r="C5" t="n">
        <x:v>8.2</x:v>
      </x:c>
      <x:c r="D5" s="26" t="b">
        <x:v>0</x:v>
      </x:c>
      <x:c r="E5"/>
    </x:row>
    <x:row r="6" ht="24" customHeight="1">
      <x:c r="A6" s="24" t="n">
        <x:v>2</x:v>
      </x:c>
      <x:c r="B6" s="24" t="n">
        <x:v>2</x:v>
      </x:c>
      <x:c r="C6" s="24" t="n">
        <x:v>7.6</x:v>
      </x:c>
      <x:c r="D6" s="28" t="b">
        <x:v>0</x:v>
      </x:c>
      <x:c r="E6" s="24"/>
    </x:row>
    <x:row r="7" ht="24" customHeight="1">
      <x:c r="A7" t="n">
        <x:v>3</x:v>
      </x:c>
      <x:c r="B7" t="n">
        <x:v>3</x:v>
      </x:c>
      <x:c r="C7" t="n">
        <x:v>8.5</x:v>
      </x:c>
      <x:c r="D7" s="26" t="b">
        <x:v>0</x:v>
      </x:c>
      <x:c r="E7"/>
    </x:row>
    <x:row r="8" ht="24" customHeight="1">
      <x:c r="A8" s="24" t="n">
        <x:v>4</x:v>
      </x:c>
      <x:c r="B8" s="24" t="n">
        <x:v>4</x:v>
      </x:c>
      <x:c r="C8" s="24" t="n">
        <x:v>8</x:v>
      </x:c>
      <x:c r="D8" s="28" t="b">
        <x:v>0</x:v>
      </x:c>
      <x:c r="E8" s="24"/>
    </x:row>
    <x:row r="9" ht="24" customHeight="1">
      <x:c r="A9" t="n">
        <x:v>5</x:v>
      </x:c>
      <x:c r="B9" t="n">
        <x:v>5</x:v>
      </x:c>
      <x:c r="C9" t="n">
        <x:v>8</x:v>
      </x:c>
      <x:c r="D9" s="26" t="b">
        <x:v>1</x:v>
      </x:c>
      <x:c r="E9" t="str">
        <x:v>2026-10-10 08:00:00</x:v>
      </x:c>
    </x:row>
    <x:row r="10" ht="24" customHeight="1">
      <x:c r="A10" s="24" t="n">
        <x:v>6</x:v>
      </x:c>
      <x:c r="B10" s="24" t="n">
        <x:v>6</x:v>
      </x:c>
      <x:c r="C10" s="24"/>
      <x:c r="D10" s="28" t="b">
        <x:v>0</x:v>
      </x:c>
      <x:c r="E10" s="24"/>
    </x:row>
    <x:row r="11" ht="24" customHeight="1">
      <x:c r="A11" t="n">
        <x:v>7</x:v>
      </x:c>
      <x:c r="B11" t="n">
        <x:v>7</x:v>
      </x:c>
      <x:c r="C11" t="n">
        <x:v>7.5</x:v>
      </x:c>
      <x:c r="D11" s="26" t="b">
        <x:v>0</x:v>
      </x:c>
      <x:c r="E11"/>
    </x:row>
    <x:row r="12" ht="24" customHeight="1">
      <x:c r="A12" s="24" t="n">
        <x:v>8</x:v>
      </x:c>
      <x:c r="B12" s="24" t="n">
        <x:v>8</x:v>
      </x:c>
      <x:c r="C12" s="24"/>
      <x:c r="D12" s="28" t="b">
        <x:v>0</x:v>
      </x:c>
      <x:c r="E12" s="24"/>
    </x:row>
  </x:sheetData>
  <x:mergeCells>
    <x:mergeCell ref="A1:E1"/>
    <x:mergeCell ref="A2:E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32" hidden="0" customWidth="1"/>
    <x:col min="4" max="4" width="12" hidden="0" customWidth="1"/>
    <x:col min="5" max="5" width="19" hidden="0" customWidth="1"/>
  </x:cols>
  <x:sheetData>
    <x:row r="1" ht="36" customHeight="1">
      <x:c r="A1" s="4" t="str">
        <x:v>EMAIL MẪU KHÔNG GỬI THẬT</x:v>
      </x:c>
      <x:c r="B1" s="4"/>
      <x:c r="C1" s="4"/>
      <x:c r="D1" s="4"/>
      <x:c r="E1" s="4"/>
    </x:row>
    <x:row r="2" ht="33" customHeight="1">
      <x:c r="A2" s="11" t="str">
        <x:v>Email example.invalid là địa chỉ giả; KHÔNG phải Emailketqua outbox. Outbox chỉ tạo lúc công bố commit.</x:v>
      </x:c>
      <x:c r="B2" s="11"/>
      <x:c r="C2" s="11"/>
      <x:c r="D2" s="11"/>
      <x:c r="E2" s="11"/>
    </x:row>
    <x:row r="4" ht="30" customHeight="1">
      <x:c r="A4" s="19" t="str">
        <x:v>Sinhvienid</x:v>
      </x:c>
      <x:c r="B4" s="19" t="str">
        <x:v>Masinhvien</x:v>
      </x:c>
      <x:c r="C4" s="19" t="str">
        <x:v>EmailFake</x:v>
      </x:c>
      <x:c r="D4" s="19" t="str">
        <x:v>Nhomid</x:v>
      </x:c>
      <x:c r="E4" s="19" t="str">
        <x:v>GhiChu</x:v>
      </x:c>
    </x:row>
    <x:row r="5" ht="24" customHeight="1">
      <x:c r="A5" t="n">
        <x:v>1</x:v>
      </x:c>
      <x:c r="B5" t="str">
        <x:v>23110001</x:v>
      </x:c>
      <x:c r="C5" t="str">
        <x:v>sv01@example.invalid</x:v>
      </x:c>
      <x:c r="D5" t="n">
        <x:v>1</x:v>
      </x:c>
      <x:c r="E5" t="str">
        <x:v>NO_REAL_SEND</x:v>
      </x:c>
    </x:row>
    <x:row r="6" ht="24" customHeight="1">
      <x:c r="A6" s="24" t="n">
        <x:v>2</x:v>
      </x:c>
      <x:c r="B6" s="24" t="str">
        <x:v>23110002</x:v>
      </x:c>
      <x:c r="C6" s="24" t="str">
        <x:v>sv02@example.invalid</x:v>
      </x:c>
      <x:c r="D6" s="24" t="n">
        <x:v>1</x:v>
      </x:c>
      <x:c r="E6" s="24" t="str">
        <x:v>NO_REAL_SEND</x:v>
      </x:c>
    </x:row>
    <x:row r="7" ht="24" customHeight="1">
      <x:c r="A7" t="n">
        <x:v>3</x:v>
      </x:c>
      <x:c r="B7" t="str">
        <x:v>23110003</x:v>
      </x:c>
      <x:c r="C7" t="str">
        <x:v>sv03@example.invalid</x:v>
      </x:c>
      <x:c r="D7" t="n">
        <x:v>1</x:v>
      </x:c>
      <x:c r="E7" t="str">
        <x:v>NO_REAL_SEND</x:v>
      </x:c>
    </x:row>
    <x:row r="8" ht="24" customHeight="1">
      <x:c r="A8" s="24" t="n">
        <x:v>4</x:v>
      </x:c>
      <x:c r="B8" s="24" t="str">
        <x:v>23110004</x:v>
      </x:c>
      <x:c r="C8" s="24" t="str">
        <x:v>sv04@example.invalid</x:v>
      </x:c>
      <x:c r="D8" s="24" t="n">
        <x:v>2</x:v>
      </x:c>
      <x:c r="E8" s="24" t="str">
        <x:v>NO_REAL_SEND</x:v>
      </x:c>
    </x:row>
    <x:row r="9" ht="24" customHeight="1">
      <x:c r="A9" t="n">
        <x:v>5</x:v>
      </x:c>
      <x:c r="B9" t="str">
        <x:v>23110005</x:v>
      </x:c>
      <x:c r="C9" t="str">
        <x:v>sv05@example.invalid</x:v>
      </x:c>
      <x:c r="D9" t="n">
        <x:v>2</x:v>
      </x:c>
      <x:c r="E9" t="str">
        <x:v>NO_REAL_SEND</x:v>
      </x:c>
    </x:row>
    <x:row r="10" ht="24" customHeight="1">
      <x:c r="A10" s="24" t="n">
        <x:v>6</x:v>
      </x:c>
      <x:c r="B10" s="24" t="str">
        <x:v>23110006</x:v>
      </x:c>
      <x:c r="C10" s="24" t="str">
        <x:v>sv06@example.invalid</x:v>
      </x:c>
      <x:c r="D10" s="24" t="n">
        <x:v>2</x:v>
      </x:c>
      <x:c r="E10" s="24" t="str">
        <x:v>NO_REAL_SEND</x:v>
      </x:c>
    </x:row>
    <x:row r="11" ht="24" customHeight="1">
      <x:c r="A11" t="n">
        <x:v>7</x:v>
      </x:c>
      <x:c r="B11" t="str">
        <x:v>23110007</x:v>
      </x:c>
      <x:c r="C11" t="str">
        <x:v>sv07@example.invalid</x:v>
      </x:c>
      <x:c r="D11" t="n">
        <x:v>3</x:v>
      </x:c>
      <x:c r="E11" t="str">
        <x:v>NO_REAL_SEND</x:v>
      </x:c>
    </x:row>
    <x:row r="12" ht="24" customHeight="1">
      <x:c r="A12" s="24" t="n">
        <x:v>8</x:v>
      </x:c>
      <x:c r="B12" s="24" t="str">
        <x:v>23110008</x:v>
      </x:c>
      <x:c r="C12" s="24" t="str">
        <x:v>sv08@example.invalid</x:v>
      </x:c>
      <x:c r="D12" s="24" t="n">
        <x:v>3</x:v>
      </x:c>
      <x:c r="E12" s="24" t="str">
        <x:v>NO_REAL_SEND</x:v>
      </x:c>
    </x:row>
    <x:row r="13" ht="24" customHeight="1">
      <x:c r="A13" t="n">
        <x:v>9</x:v>
      </x:c>
      <x:c r="B13" t="str">
        <x:v>23110009</x:v>
      </x:c>
      <x:c r="C13" t="str">
        <x:v>sv09@example.invalid</x:v>
      </x:c>
      <x:c r="D13" t="n">
        <x:v>3</x:v>
      </x:c>
      <x:c r="E13" t="str">
        <x:v>NO_REAL_SEND</x:v>
      </x:c>
    </x:row>
    <x:row r="14" ht="24" customHeight="1">
      <x:c r="A14" s="24" t="n">
        <x:v>10</x:v>
      </x:c>
      <x:c r="B14" s="24" t="str">
        <x:v>23110010</x:v>
      </x:c>
      <x:c r="C14" s="24" t="str">
        <x:v>sv10@example.invalid</x:v>
      </x:c>
      <x:c r="D14" s="24" t="n">
        <x:v>4</x:v>
      </x:c>
      <x:c r="E14" s="24" t="str">
        <x:v>NO_REAL_SEND</x:v>
      </x:c>
    </x:row>
    <x:row r="15" ht="24" customHeight="1">
      <x:c r="A15" t="n">
        <x:v>11</x:v>
      </x:c>
      <x:c r="B15" t="str">
        <x:v>23110011</x:v>
      </x:c>
      <x:c r="C15" t="str">
        <x:v>sv11@example.invalid</x:v>
      </x:c>
      <x:c r="D15" t="n">
        <x:v>4</x:v>
      </x:c>
      <x:c r="E15" t="str">
        <x:v>NO_REAL_SEND</x:v>
      </x:c>
    </x:row>
    <x:row r="16" ht="24" customHeight="1">
      <x:c r="A16" s="24" t="n">
        <x:v>12</x:v>
      </x:c>
      <x:c r="B16" s="24" t="str">
        <x:v>23110012</x:v>
      </x:c>
      <x:c r="C16" s="24" t="str">
        <x:v>sv12@example.invalid</x:v>
      </x:c>
      <x:c r="D16" s="24" t="n">
        <x:v>4</x:v>
      </x:c>
      <x:c r="E16" s="24" t="str">
        <x:v>NO_REAL_SEND</x:v>
      </x:c>
    </x:row>
    <x:row r="17" ht="24" customHeight="1">
      <x:c r="A17" t="n">
        <x:v>13</x:v>
      </x:c>
      <x:c r="B17" t="str">
        <x:v>23110013</x:v>
      </x:c>
      <x:c r="C17" t="str">
        <x:v>sv13@example.invalid</x:v>
      </x:c>
      <x:c r="D17" t="n">
        <x:v>5</x:v>
      </x:c>
      <x:c r="E17" t="str">
        <x:v>NO_REAL_SEND</x:v>
      </x:c>
    </x:row>
    <x:row r="18" ht="24" customHeight="1">
      <x:c r="A18" s="24" t="n">
        <x:v>14</x:v>
      </x:c>
      <x:c r="B18" s="24" t="str">
        <x:v>23110014</x:v>
      </x:c>
      <x:c r="C18" s="24" t="str">
        <x:v>sv14@example.invalid</x:v>
      </x:c>
      <x:c r="D18" s="24" t="n">
        <x:v>5</x:v>
      </x:c>
      <x:c r="E18" s="24" t="str">
        <x:v>NO_REAL_SEND</x:v>
      </x:c>
    </x:row>
    <x:row r="19" ht="24" customHeight="1">
      <x:c r="A19" t="n">
        <x:v>15</x:v>
      </x:c>
      <x:c r="B19" t="str">
        <x:v>23110015</x:v>
      </x:c>
      <x:c r="C19" t="str">
        <x:v>sv15@example.invalid</x:v>
      </x:c>
      <x:c r="D19" t="n">
        <x:v>5</x:v>
      </x:c>
      <x:c r="E19" t="str">
        <x:v>NO_REAL_SEND</x:v>
      </x:c>
    </x:row>
    <x:row r="20" ht="24" customHeight="1">
      <x:c r="A20" s="24" t="n">
        <x:v>16</x:v>
      </x:c>
      <x:c r="B20" s="24" t="str">
        <x:v>23110016</x:v>
      </x:c>
      <x:c r="C20" s="24" t="str">
        <x:v>sv16@example.invalid</x:v>
      </x:c>
      <x:c r="D20" s="24" t="n">
        <x:v>6</x:v>
      </x:c>
      <x:c r="E20" s="24" t="str">
        <x:v>NO_REAL_SEND</x:v>
      </x:c>
    </x:row>
    <x:row r="21" ht="24" customHeight="1">
      <x:c r="A21" t="n">
        <x:v>17</x:v>
      </x:c>
      <x:c r="B21" t="str">
        <x:v>23110017</x:v>
      </x:c>
      <x:c r="C21" t="str">
        <x:v>sv17@example.invalid</x:v>
      </x:c>
      <x:c r="D21" t="n">
        <x:v>6</x:v>
      </x:c>
      <x:c r="E21" t="str">
        <x:v>NO_REAL_SEND</x:v>
      </x:c>
    </x:row>
    <x:row r="22" ht="24" customHeight="1">
      <x:c r="A22" s="24" t="n">
        <x:v>18</x:v>
      </x:c>
      <x:c r="B22" s="24" t="str">
        <x:v>23110018</x:v>
      </x:c>
      <x:c r="C22" s="24" t="str">
        <x:v>sv18@example.invalid</x:v>
      </x:c>
      <x:c r="D22" s="24" t="n">
        <x:v>6</x:v>
      </x:c>
      <x:c r="E22" s="24" t="str">
        <x:v>NO_REAL_SEND</x:v>
      </x:c>
    </x:row>
    <x:row r="23" ht="24" customHeight="1">
      <x:c r="A23" t="n">
        <x:v>19</x:v>
      </x:c>
      <x:c r="B23" t="str">
        <x:v>23110019</x:v>
      </x:c>
      <x:c r="C23" t="str">
        <x:v>sv19@example.invalid</x:v>
      </x:c>
      <x:c r="D23" t="n">
        <x:v>7</x:v>
      </x:c>
      <x:c r="E23" t="str">
        <x:v>NO_REAL_SEND</x:v>
      </x:c>
    </x:row>
    <x:row r="24" ht="24" customHeight="1">
      <x:c r="A24" s="24" t="n">
        <x:v>20</x:v>
      </x:c>
      <x:c r="B24" s="24" t="str">
        <x:v>23110020</x:v>
      </x:c>
      <x:c r="C24" s="24" t="str">
        <x:v>sv20@example.invalid</x:v>
      </x:c>
      <x:c r="D24" s="24" t="n">
        <x:v>7</x:v>
      </x:c>
      <x:c r="E24" s="24" t="str">
        <x:v>NO_REAL_SEND</x:v>
      </x:c>
    </x:row>
    <x:row r="25" ht="24" customHeight="1">
      <x:c r="A25" t="n">
        <x:v>21</x:v>
      </x:c>
      <x:c r="B25" t="str">
        <x:v>23110021</x:v>
      </x:c>
      <x:c r="C25" t="str">
        <x:v>sv21@example.invalid</x:v>
      </x:c>
      <x:c r="D25" t="n">
        <x:v>7</x:v>
      </x:c>
      <x:c r="E25" t="str">
        <x:v>NO_REAL_SEND</x:v>
      </x:c>
    </x:row>
    <x:row r="26" ht="24" customHeight="1">
      <x:c r="A26" s="24" t="n">
        <x:v>22</x:v>
      </x:c>
      <x:c r="B26" s="24" t="str">
        <x:v>23110022</x:v>
      </x:c>
      <x:c r="C26" s="24" t="str">
        <x:v>sv22@example.invalid</x:v>
      </x:c>
      <x:c r="D26" s="24" t="n">
        <x:v>8</x:v>
      </x:c>
      <x:c r="E26" s="24" t="str">
        <x:v>NO_REAL_SEND</x:v>
      </x:c>
    </x:row>
    <x:row r="27" ht="24" customHeight="1">
      <x:c r="A27" t="n">
        <x:v>23</x:v>
      </x:c>
      <x:c r="B27" t="str">
        <x:v>23110023</x:v>
      </x:c>
      <x:c r="C27" t="str">
        <x:v>sv23@example.invalid</x:v>
      </x:c>
      <x:c r="D27" t="n">
        <x:v>8</x:v>
      </x:c>
      <x:c r="E27" t="str">
        <x:v>NO_REAL_SEND</x:v>
      </x:c>
    </x:row>
    <x:row r="28" ht="24" customHeight="1">
      <x:c r="A28" s="24" t="n">
        <x:v>24</x:v>
      </x:c>
      <x:c r="B28" s="24" t="str">
        <x:v>23110024</x:v>
      </x:c>
      <x:c r="C28" s="24" t="str">
        <x:v>sv24@example.invalid</x:v>
      </x:c>
      <x:c r="D28" s="24" t="n">
        <x:v>8</x:v>
      </x:c>
      <x:c r="E28" s="24" t="str">
        <x:v>NO_REAL_SEND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6" hidden="0" customWidth="1"/>
    <x:col min="5" max="5" width="17" hidden="0" customWidth="1"/>
    <x:col min="6" max="6" width="14" hidden="0" customWidth="1"/>
    <x:col min="7" max="7" width="15" hidden="0" customWidth="1"/>
    <x:col min="8" max="8" width="15" hidden="0" customWidth="1"/>
    <x:col min="9" max="9" width="19" hidden="0" customWidth="1"/>
  </x:cols>
  <x:sheetData>
    <x:row r="1" ht="36" customHeight="1">
      <x:c r="A1" s="4" t="str">
        <x:v>ĐỐI CHIẾU TỰ ĐỘNG</x:v>
      </x:c>
      <x:c r="B1" s="4"/>
      <x:c r="C1" s="4"/>
      <x:c r="D1" s="4"/>
      <x:c r="E1" s="4"/>
      <x:c r="F1" s="4"/>
      <x:c r="G1" s="4"/>
      <x:c r="H1" s="4"/>
      <x:c r="I1" s="4"/>
    </x:row>
    <x:row r="2" ht="33" customHeight="1">
      <x:c r="A2" s="11" t="str">
        <x:v>Các ô công thức tính từ sheet Diem; để trống điểm chưa nhập chứ không gán bằng 0.</x:v>
      </x:c>
      <x:c r="B2" s="11"/>
      <x:c r="C2" s="11"/>
      <x:c r="D2" s="11"/>
      <x:c r="E2" s="11"/>
      <x:c r="F2" s="11"/>
      <x:c r="G2" s="11"/>
      <x:c r="H2" s="11"/>
      <x:c r="I2" s="11"/>
    </x:row>
    <x:row r="4" ht="30" customHeight="1">
      <x:c r="A4" s="19" t="str">
        <x:v>DangkyID</x:v>
      </x:c>
      <x:c r="B4" s="19" t="str">
        <x:v>Loaidot</x:v>
      </x:c>
      <x:c r="C4" s="19" t="str">
        <x:v>SoDiemCan</x:v>
      </x:c>
      <x:c r="D4" s="19" t="str">
        <x:v>SoDiemCo</x:v>
      </x:c>
      <x:c r="E4" s="19" t="str">
        <x:v>DuDiem</x:v>
      </x:c>
      <x:c r="F4" s="19" t="str">
        <x:v>DiemTB</x:v>
      </x:c>
      <x:c r="G4" s="19" t="str">
        <x:v>GhiChu</x:v>
      </x:c>
      <x:c r="H4" s="19" t="str">
        <x:v>DiemCuoiDB</x:v>
      </x:c>
      <x:c r="I4" s="19" t="str">
        <x:v>KiemTra</x:v>
      </x:c>
    </x:row>
    <x:row r="5" ht="24" customHeight="1">
      <x:c r="A5" t="n">
        <x:v>1</x:v>
      </x:c>
      <x:c r="B5" t="str">
        <x:v>MONHOC</x:v>
      </x:c>
      <x:c r="C5" t="n">
        <x:v>1</x:v>
      </x:c>
      <x:c r="D5" t="n">
        <x:f>COUNTIF(Diem!$B$5:$B$16,A5)</x:f>
        <x:v>1</x:v>
      </x:c>
      <x:c r="E5" t="str">
        <x:f>IF(D5=C5,"ĐỦ","THIẾU")</x:f>
        <x:v>ĐỦ</x:v>
      </x:c>
      <x:c r="F5" s="30" t="n">
        <x:f>IFERROR(ROUND(AVERAGEIF(Diem!$B$5:$B$16,A5,Diem!$D$5:$D$16),2),"")</x:f>
        <x:v>8.2</x:v>
      </x:c>
      <x:c r="G5" t="str">
        <x:v>Chưa công bố</x:v>
      </x:c>
      <x:c r="H5" s="30" t="n">
        <x:v>8.2</x:v>
      </x:c>
      <x:c r="I5" t="str">
        <x:f>IF(E5="THIẾU","CHẶN CÔNG BỐ",IF(ABS(F5-H5)&lt;0.005,"KHỚP","SAI ĐIỂM CUỐI"))</x:f>
        <x:v>KHỚP</x:v>
      </x:c>
    </x:row>
    <x:row r="6" ht="24" customHeight="1">
      <x:c r="A6" s="24" t="n">
        <x:v>2</x:v>
      </x:c>
      <x:c r="B6" s="24" t="str">
        <x:v>NCKH</x:v>
      </x:c>
      <x:c r="C6" s="24" t="n">
        <x:v>1</x:v>
      </x:c>
      <x:c r="D6" s="24" t="n">
        <x:f>COUNTIF(Diem!$B$5:$B$16,A6)</x:f>
        <x:v>1</x:v>
      </x:c>
      <x:c r="E6" s="24" t="str">
        <x:f>IF(D6=C6,"ĐỦ","THIẾU")</x:f>
        <x:v>ĐỦ</x:v>
      </x:c>
      <x:c r="F6" s="31" t="n">
        <x:f>IFERROR(ROUND(AVERAGEIF(Diem!$B$5:$B$16,A6,Diem!$D$5:$D$16),2),"")</x:f>
        <x:v>7.6</x:v>
      </x:c>
      <x:c r="G6" s="24" t="str">
        <x:v>Chưa công bố</x:v>
      </x:c>
      <x:c r="H6" s="31" t="n">
        <x:v>7.6</x:v>
      </x:c>
      <x:c r="I6" s="24" t="str">
        <x:f>IF(E6="THIẾU","CHẶN CÔNG BỐ",IF(ABS(F6-H6)&lt;0.005,"KHỚP","SAI ĐIỂM CUỐI"))</x:f>
        <x:v>KHỚP</x:v>
      </x:c>
    </x:row>
    <x:row r="7" ht="24" customHeight="1">
      <x:c r="A7" t="n">
        <x:v>3</x:v>
      </x:c>
      <x:c r="B7" t="str">
        <x:v>TLCN</x:v>
      </x:c>
      <x:c r="C7" t="n">
        <x:v>3</x:v>
      </x:c>
      <x:c r="D7" t="n">
        <x:f>COUNTIF(Diem!$B$5:$B$16,A7)</x:f>
        <x:v>3</x:v>
      </x:c>
      <x:c r="E7" t="str">
        <x:f>IF(D7=C7,"ĐỦ","THIẾU")</x:f>
        <x:v>ĐỦ</x:v>
      </x:c>
      <x:c r="F7" s="30" t="n">
        <x:f>IFERROR(ROUND(AVERAGEIF(Diem!$B$5:$B$16,A7,Diem!$D$5:$D$16),2),"")</x:f>
        <x:v>8.5</x:v>
      </x:c>
      <x:c r="G7" t="str">
        <x:v>Chưa công bố</x:v>
      </x:c>
      <x:c r="H7" s="30" t="n">
        <x:v>8.5</x:v>
      </x:c>
      <x:c r="I7" t="str">
        <x:f>IF(E7="THIẾU","CHẶN CÔNG BỐ",IF(ABS(F7-H7)&lt;0.005,"KHỚP","SAI ĐIỂM CUỐI"))</x:f>
        <x:v>KHỚP</x:v>
      </x:c>
    </x:row>
    <x:row r="8" ht="24" customHeight="1">
      <x:c r="A8" s="24" t="n">
        <x:v>4</x:v>
      </x:c>
      <x:c r="B8" s="24" t="str">
        <x:v>KLTN</x:v>
      </x:c>
      <x:c r="C8" s="24" t="n">
        <x:v>3</x:v>
      </x:c>
      <x:c r="D8" s="24" t="n">
        <x:f>COUNTIF(Diem!$B$5:$B$16,A8)</x:f>
        <x:v>3</x:v>
      </x:c>
      <x:c r="E8" s="24" t="str">
        <x:f>IF(D8=C8,"ĐỦ","THIẾU")</x:f>
        <x:v>ĐỦ</x:v>
      </x:c>
      <x:c r="F8" s="31" t="n">
        <x:f>IFERROR(ROUND(AVERAGEIF(Diem!$B$5:$B$16,A8,Diem!$D$5:$D$16),2),"")</x:f>
        <x:v>8</x:v>
      </x:c>
      <x:c r="G8" s="24" t="str">
        <x:v>Chưa công bố</x:v>
      </x:c>
      <x:c r="H8" s="31" t="n">
        <x:v>8</x:v>
      </x:c>
      <x:c r="I8" s="24" t="str">
        <x:f>IF(E8="THIẾU","CHẶN CÔNG BỐ",IF(ABS(F8-H8)&lt;0.005,"KHỚP","SAI ĐIỂM CUỐI"))</x:f>
        <x:v>KHỚP</x:v>
      </x:c>
    </x:row>
    <x:row r="9" ht="24" customHeight="1">
      <x:c r="A9" t="n">
        <x:v>5</x:v>
      </x:c>
      <x:c r="B9" t="str">
        <x:v>MONHOC</x:v>
      </x:c>
      <x:c r="C9" t="n">
        <x:v>1</x:v>
      </x:c>
      <x:c r="D9" t="n">
        <x:f>COUNTIF(Diem!$B$5:$B$16,A9)</x:f>
        <x:v>1</x:v>
      </x:c>
      <x:c r="E9" t="str">
        <x:f>IF(D9=C9,"ĐỦ","THIẾU")</x:f>
        <x:v>ĐỦ</x:v>
      </x:c>
      <x:c r="F9" s="30" t="n">
        <x:f>IFERROR(ROUND(AVERAGEIF(Diem!$B$5:$B$16,A9,Diem!$D$5:$D$16),2),"")</x:f>
        <x:v>8</x:v>
      </x:c>
      <x:c r="G9" t="str">
        <x:v>Đã công bố, chống lặp</x:v>
      </x:c>
      <x:c r="H9" s="30" t="n">
        <x:v>8</x:v>
      </x:c>
      <x:c r="I9" t="str">
        <x:f>IF(E9="THIẾU","CHẶN CÔNG BỐ",IF(ABS(F9-H9)&lt;0.005,"KHỚP","SAI ĐIỂM CUỐI"))</x:f>
        <x:v>KHỚP</x:v>
      </x:c>
    </x:row>
    <x:row r="10" ht="24" customHeight="1">
      <x:c r="A10" s="24" t="n">
        <x:v>6</x:v>
      </x:c>
      <x:c r="B10" s="24" t="str">
        <x:v>NCKH</x:v>
      </x:c>
      <x:c r="C10" s="24" t="n">
        <x:v>1</x:v>
      </x:c>
      <x:c r="D10" s="24" t="n">
        <x:f>COUNTIF(Diem!$B$5:$B$16,A10)</x:f>
        <x:v>0</x:v>
      </x:c>
      <x:c r="E10" s="24" t="str">
        <x:f>IF(D10=C10,"ĐỦ","THIẾU")</x:f>
        <x:v>THIẾU</x:v>
      </x:c>
      <x:c r="F10" s="31" t="str">
        <x:f>IFERROR(ROUND(AVERAGEIF(Diem!$B$5:$B$16,A10,Diem!$D$5:$D$16),2),"")</x:f>
      </x:c>
      <x:c r="G10" s="24" t="str">
        <x:v>Thiếu điểm</x:v>
      </x:c>
      <x:c r="H10" s="31"/>
      <x:c r="I10" s="24" t="str">
        <x:f>IF(E10="THIẾU","CHẶN CÔNG BỐ",IF(ABS(F10-H10)&lt;0.005,"KHỚP","SAI ĐIỂM CUỐI"))</x:f>
        <x:v>CHẶN CÔNG BỐ</x:v>
      </x:c>
    </x:row>
    <x:row r="11" ht="24" customHeight="1">
      <x:c r="A11" t="n">
        <x:v>7</x:v>
      </x:c>
      <x:c r="B11" t="str">
        <x:v>TLCN</x:v>
      </x:c>
      <x:c r="C11" t="n">
        <x:v>1</x:v>
      </x:c>
      <x:c r="D11" t="n">
        <x:f>COUNTIF(Diem!$B$5:$B$16,A11)</x:f>
        <x:v>1</x:v>
      </x:c>
      <x:c r="E11" t="str">
        <x:f>IF(D11=C11,"ĐỦ","THIẾU")</x:f>
        <x:v>ĐỦ</x:v>
      </x:c>
      <x:c r="F11" s="30" t="n">
        <x:f>IFERROR(ROUND(AVERAGEIF(Diem!$B$5:$B$16,A11,Diem!$D$5:$D$16),2),"")</x:f>
        <x:v>7.5</x:v>
      </x:c>
      <x:c r="G11" t="str">
        <x:v>Chưa công bố</x:v>
      </x:c>
      <x:c r="H11" s="30" t="n">
        <x:v>7.5</x:v>
      </x:c>
      <x:c r="I11" t="str">
        <x:f>IF(E11="THIẾU","CHẶN CÔNG BỐ",IF(ABS(F11-H11)&lt;0.005,"KHỚP","SAI ĐIỂM CUỐI"))</x:f>
        <x:v>KHỚP</x:v>
      </x:c>
    </x:row>
    <x:row r="12" ht="24" customHeight="1">
      <x:c r="A12" s="24" t="n">
        <x:v>8</x:v>
      </x:c>
      <x:c r="B12" s="24" t="str">
        <x:v>KLTN</x:v>
      </x:c>
      <x:c r="C12" s="24" t="n">
        <x:v>3</x:v>
      </x:c>
      <x:c r="D12" s="24" t="n">
        <x:f>COUNTIF(Diem!$B$5:$B$16,A12)</x:f>
        <x:v>2</x:v>
      </x:c>
      <x:c r="E12" s="24" t="str">
        <x:f>IF(D12=C12,"ĐỦ","THIẾU")</x:f>
        <x:v>THIẾU</x:v>
      </x:c>
      <x:c r="F12" s="31" t="n">
        <x:f>IFERROR(ROUND(AVERAGEIF(Diem!$B$5:$B$16,A12,Diem!$D$5:$D$16),2),"")</x:f>
        <x:v>8.5</x:v>
      </x:c>
      <x:c r="G12" s="24" t="str">
        <x:v>Thiếu điểm</x:v>
      </x:c>
      <x:c r="H12" s="31"/>
      <x:c r="I12" s="24" t="str">
        <x:f>IF(E12="THIẾU","CHẶN CÔNG BỐ",IF(ABS(F12-H12)&lt;0.005,"KHỚP","SAI ĐIỂM CUỐI"))</x:f>
        <x:v>CHẶN CÔNG BỐ</x:v>
      </x:c>
    </x:row>
  </x:sheetData>
  <x:mergeCells>
    <x:mergeCell ref="A1:I1"/>
    <x:mergeCell ref="A2:I2"/>
  </x:mergeCells>
  <x:conditionalFormatting sqref="E5:E12">
    <x:cfRule type="expression" dxfId="0" priority="1">
      <x:formula>E5="THIẾU"</x:formula>
    </x:cfRule>
    <x:cfRule type="expression" dxfId="1" priority="2">
      <x:formula>E5="ĐỦ"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55" hidden="0" customWidth="1"/>
    <x:col min="5" max="5" width="55" hidden="0" customWidth="1"/>
  </x:cols>
  <x:sheetData>
    <x:row r="1" ht="36" customHeight="1">
      <x:c r="A1" s="4" t="str">
        <x:v>KỊCH BẢN TEST TRÊN WEBSITE</x:v>
      </x:c>
      <x:c r="B1" s="4"/>
      <x:c r="C1" s="4"/>
      <x:c r="D1" s="4"/>
      <x:c r="E1" s="4"/>
    </x:row>
    <x:row r="2" ht="33" customHeight="1">
      <x:c r="A2" s="11" t="str">
        <x:v>Chỉ chạy sau khi đã triển khai schema V002 trên database DEMO riêng; không chạy trên MySQL hiện tại.</x:v>
      </x:c>
      <x:c r="B2" s="11"/>
      <x:c r="C2" s="11"/>
      <x:c r="D2" s="11"/>
      <x:c r="E2" s="11"/>
    </x:row>
    <x:row r="4" ht="30" customHeight="1">
      <x:c r="A4" s="19" t="str">
        <x:v>TC</x:v>
      </x:c>
      <x:c r="B4" s="19" t="str">
        <x:v>VaiTro</x:v>
      </x:c>
      <x:c r="C4" s="19" t="str">
        <x:v>DoiTuong</x:v>
      </x:c>
      <x:c r="D4" s="19" t="str">
        <x:v>HanhDong</x:v>
      </x:c>
      <x:c r="E4" s="19" t="str">
        <x:v>KetQuaMongDoi</x:v>
      </x:c>
    </x:row>
    <x:row r="5" ht="24" customHeight="1">
      <x:c r="A5" t="str">
        <x:v>TC01</x:v>
      </x:c>
      <x:c r="B5" t="str">
        <x:v>TK001</x:v>
      </x:c>
      <x:c r="C5" t="str">
        <x:v>Đăng ký 1</x:v>
      </x:c>
      <x:c r="D5" t="str">
        <x:v>Phân công KHONGHOIDONG, đủ điểm 8.20</x:v>
      </x:c>
      <x:c r="E5" t="str">
        <x:v>Công bố thành công, ghi ngày server</x:v>
      </x:c>
    </x:row>
    <x:row r="6" ht="24" customHeight="1">
      <x:c r="A6" s="24" t="str">
        <x:v>TC02</x:v>
      </x:c>
      <x:c r="B6" s="24" t="str">
        <x:v>TK001</x:v>
      </x:c>
      <x:c r="C6" s="24" t="str">
        <x:v>Đăng ký 3</x:v>
      </x:c>
      <x:c r="D6" s="24" t="str">
        <x:v>TLCN, hội đồng 101 có 3 GV, đủ 3 điểm</x:v>
      </x:c>
      <x:c r="E6" s="24" t="str">
        <x:v>Công bố thành công</x:v>
      </x:c>
    </x:row>
    <x:row r="7" ht="24" customHeight="1">
      <x:c r="A7" t="str">
        <x:v>TC03</x:v>
      </x:c>
      <x:c r="B7" t="str">
        <x:v>TK001</x:v>
      </x:c>
      <x:c r="C7" t="str">
        <x:v>Đăng ký 4</x:v>
      </x:c>
      <x:c r="D7" t="str">
        <x:v>KLTN, hội đồng 102, đủ 3 điểm</x:v>
      </x:c>
      <x:c r="E7" t="str">
        <x:v>Công bố thành công</x:v>
      </x:c>
    </x:row>
    <x:row r="8" ht="24" customHeight="1">
      <x:c r="A8" s="24" t="str">
        <x:v>TC04</x:v>
      </x:c>
      <x:c r="B8" s="24" t="str">
        <x:v>TK001</x:v>
      </x:c>
      <x:c r="C8" s="24" t="str">
        <x:v>Đăng ký 6</x:v>
      </x:c>
      <x:c r="D8" s="24" t="str">
        <x:v>NCKH thiếu điểm GV 10</x:v>
      </x:c>
      <x:c r="E8" s="24" t="str">
        <x:v>Bị từ chối, không cập nhật kết quả</x:v>
      </x:c>
    </x:row>
    <x:row r="9" ht="24" customHeight="1">
      <x:c r="A9" t="str">
        <x:v>TC05</x:v>
      </x:c>
      <x:c r="B9" t="str">
        <x:v>TK001</x:v>
      </x:c>
      <x:c r="C9" t="str">
        <x:v>Đăng ký 8</x:v>
      </x:c>
      <x:c r="D9" t="str">
        <x:v>KLTN thiếu điểm GV 18</x:v>
      </x:c>
      <x:c r="E9" t="str">
        <x:v>Bị từ chối, nêu rõ GV chưa chấm</x:v>
      </x:c>
    </x:row>
    <x:row r="10" ht="24" customHeight="1">
      <x:c r="A10" s="24" t="str">
        <x:v>TC06</x:v>
      </x:c>
      <x:c r="B10" s="24" t="str">
        <x:v>TK001</x:v>
      </x:c>
      <x:c r="C10" s="24" t="str">
        <x:v>Đăng ký 5</x:v>
      </x:c>
      <x:c r="D10" s="24" t="str">
        <x:v>Công bố lại kết quả đã công bố</x:v>
      </x:c>
      <x:c r="E10" s="24" t="str">
        <x:v>Không thay đổi ngày, không gửi thêm mail</x:v>
      </x:c>
    </x:row>
    <x:row r="11" ht="24" customHeight="1">
      <x:c r="A11" t="str">
        <x:v>TC07</x:v>
      </x:c>
      <x:c r="B11" t="str">
        <x:v>23110001</x:v>
      </x:c>
      <x:c r="C11" t="str">
        <x:v>Đăng ký 2 / nhóm 2</x:v>
      </x:c>
      <x:c r="D11" t="str">
        <x:v>Cố mở kết quả nhóm khác bằng URL/ID</x:v>
      </x:c>
      <x:c r="E11" t="str">
        <x:v>Không truy cập được</x:v>
      </x:c>
    </x:row>
    <x:row r="12" ht="24" customHeight="1">
      <x:c r="A12" s="24" t="str">
        <x:v>TC08</x:v>
      </x:c>
      <x:c r="B12" s="24" t="str">
        <x:v>23110004</x:v>
      </x:c>
      <x:c r="C12" s="24" t="str">
        <x:v>Đăng ký 1 / nhóm 1</x:v>
      </x:c>
      <x:c r="D12" s="24" t="str">
        <x:v>Cố mở kết quả nhóm khác bằng URL/ID</x:v>
      </x:c>
      <x:c r="E12" s="24" t="str">
        <x:v>Không truy cập được</x:v>
      </x:c>
    </x:row>
    <x:row r="13" ht="24" customHeight="1">
      <x:c r="A13" t="str">
        <x:v>TC09</x:v>
      </x:c>
      <x:c r="B13" t="str">
        <x:v>23110001</x:v>
      </x:c>
      <x:c r="C13" t="str">
        <x:v>Đăng ký 1 / nhóm 1</x:v>
      </x:c>
      <x:c r="D13" t="str">
        <x:v>Kết quả chưa công bố</x:v>
      </x:c>
      <x:c r="E13" t="str">
        <x:v>Không hiển thị</x:v>
      </x:c>
    </x:row>
    <x:row r="14" ht="24" customHeight="1">
      <x:c r="A14" s="24" t="str">
        <x:v>TC10</x:v>
      </x:c>
      <x:c r="B14" s="24" t="str">
        <x:v>TK001</x:v>
      </x:c>
      <x:c r="C14" s="24" t="str">
        <x:v>Email nhóm 1</x:v>
      </x:c>
      <x:c r="D14" s="24" t="str">
        <x:v>Công bố + SMTP tắt</x:v>
      </x:c>
      <x:c r="E14" s="24" t="str">
        <x:v>PENDING/MISSING_EMAIL, không gửi thật</x:v>
      </x:c>
    </x:row>
  </x:sheetData>
  <x:mergeCells>
    <x:mergeCell ref="A1:E1"/>
    <x:mergeCell ref="A2:E2"/>
  </x:mergeCells>
  <x:pageMargins left="0.7" right="0.7" top="0.75" bottom="0.75" header="0.3" footer="0.3"/>
</x:worksheet>
</file>